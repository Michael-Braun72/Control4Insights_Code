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-Plan Kostenstellen" sheetId="1" state="visible" r:id="rId1"/>
    <sheet xmlns:r="http://schemas.openxmlformats.org/officeDocument/2006/relationships" name="Umsatz-Pipeline" sheetId="2" state="visible" r:id="rId2"/>
    <sheet xmlns:r="http://schemas.openxmlformats.org/officeDocument/2006/relationships" name="KPI-Zeitreihe" sheetId="3" state="visible" r:id="rId3"/>
    <sheet xmlns:r="http://schemas.openxmlformats.org/officeDocument/2006/relationships" name="Demo-Anleit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;-#,##0;-"/>
    <numFmt numFmtId="165" formatCode="+0.0%;-0.0%;-"/>
    <numFmt numFmtId="166" formatCode="0.0%"/>
    <numFmt numFmtId="167" formatCode="0.0"/>
  </numFmts>
  <fonts count="20">
    <font>
      <name val="Calibri"/>
      <family val="2"/>
      <color theme="1"/>
      <sz val="11"/>
      <scheme val="minor"/>
    </font>
    <font>
      <name val="Arial"/>
      <b val="1"/>
      <color rgb="001B3A5C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888888"/>
      <sz val="9"/>
    </font>
    <font>
      <name val="Arial"/>
      <b val="1"/>
      <color rgb="00000000"/>
      <sz val="9"/>
    </font>
    <font>
      <name val="Arial"/>
      <color rgb="00444444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8B0000"/>
      <sz val="11"/>
    </font>
    <font>
      <name val="Arial"/>
      <b val="1"/>
      <color rgb="00CC0000"/>
      <sz val="9"/>
    </font>
    <font>
      <name val="Arial"/>
      <b val="1"/>
      <color rgb="001B3A5C"/>
      <sz val="11"/>
    </font>
    <font>
      <name val="Arial"/>
      <color rgb="00555555"/>
      <sz val="9"/>
    </font>
    <font>
      <name val="Arial"/>
      <i val="1"/>
      <color rgb="002E5B8A"/>
      <sz val="9"/>
    </font>
    <font>
      <name val="Arial"/>
      <b val="1"/>
      <color rgb="001B3A5C"/>
      <sz val="14"/>
    </font>
    <font>
      <name val="Arial"/>
      <i val="1"/>
      <color rgb="00888888"/>
      <sz val="9"/>
    </font>
    <font>
      <name val="Arial"/>
      <b val="1"/>
      <color rgb="001B3A5C"/>
      <sz val="10"/>
    </font>
    <font>
      <name val="Arial"/>
      <b val="1"/>
      <color rgb="001B3A5C"/>
      <sz val="9"/>
    </font>
    <font>
      <name val="Arial"/>
      <color rgb="00222222"/>
      <sz val="9"/>
    </font>
  </fonts>
  <fills count="1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5F8FC"/>
      </patternFill>
    </fill>
    <fill>
      <patternFill patternType="solid">
        <fgColor rgb="002E5B8A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FFD9D9"/>
      </patternFill>
    </fill>
    <fill>
      <patternFill patternType="solid">
        <fgColor rgb="004A7BA8"/>
      </patternFill>
    </fill>
    <fill>
      <patternFill patternType="solid">
        <fgColor rgb="00FFFFFF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3" fontId="9" fillId="2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165" fontId="9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3" fontId="7" fillId="9" borderId="1" applyAlignment="1" pivotButton="0" quotePrefix="0" xfId="0">
      <alignment horizontal="center" vertical="center"/>
    </xf>
    <xf numFmtId="3" fontId="11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3" fontId="7" fillId="12" borderId="1" applyAlignment="1" pivotButton="0" quotePrefix="0" xfId="0">
      <alignment horizontal="right" vertical="center"/>
    </xf>
    <xf numFmtId="3" fontId="14" fillId="13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166" fontId="7" fillId="12" borderId="1" applyAlignment="1" pivotButton="0" quotePrefix="0" xfId="0">
      <alignment horizontal="right" vertical="center"/>
    </xf>
    <xf numFmtId="166" fontId="14" fillId="13" borderId="1" applyAlignment="1" pivotButton="0" quotePrefix="0" xfId="0">
      <alignment horizontal="right" vertical="center"/>
    </xf>
    <xf numFmtId="166" fontId="5" fillId="8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right" vertical="center"/>
    </xf>
    <xf numFmtId="0" fontId="14" fillId="13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6" fillId="0" borderId="0" pivotButton="0" quotePrefix="0" xfId="0"/>
    <xf numFmtId="0" fontId="17" fillId="1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9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45" customWidth="1" min="9" max="9"/>
  </cols>
  <sheetData>
    <row r="1" ht="22" customHeight="1">
      <c r="A1" s="1" t="inlineStr">
        <is>
          <t>Kostenstellen-Report | Business Unit Controlling | Q1-Q3 2025</t>
        </is>
      </c>
    </row>
    <row r="2" ht="16" customHeight="1">
      <c r="A2" s="2" t="inlineStr">
        <is>
          <t>Alle Werte in TEUR  |  Stand: 30.09.2025  |  Rohexport ERP — für Demo-Zwecke anonymisiert</t>
        </is>
      </c>
    </row>
    <row r="3" ht="32" customHeight="1">
      <c r="A3" s="3" t="inlineStr"/>
      <c r="B3" s="3" t="inlineStr">
        <is>
          <t>Kostenstelle</t>
        </is>
      </c>
      <c r="C3" s="3" t="inlineStr">
        <is>
          <t>Verantwortlich</t>
        </is>
      </c>
      <c r="D3" s="3" t="inlineStr">
        <is>
          <t>Kst-Typ</t>
        </is>
      </c>
      <c r="E3" s="3" t="inlineStr">
        <is>
          <t>Plan YTD
(TEUR)</t>
        </is>
      </c>
      <c r="F3" s="3" t="inlineStr">
        <is>
          <t>Ist YTD
(TEUR)</t>
        </is>
      </c>
      <c r="G3" s="3" t="inlineStr">
        <is>
          <t>Abw. abs.
(TEUR)</t>
        </is>
      </c>
      <c r="H3" s="3" t="inlineStr">
        <is>
          <t>Abw. %</t>
        </is>
      </c>
      <c r="I3" s="3" t="inlineStr">
        <is>
          <t>Kommentar / Ursache</t>
        </is>
      </c>
    </row>
    <row r="4" ht="16" customHeight="1">
      <c r="A4" s="4" t="n">
        <v>1</v>
      </c>
      <c r="B4" s="5" t="inlineStr">
        <is>
          <t>Vertrieb DACH</t>
        </is>
      </c>
      <c r="C4" s="6" t="inlineStr">
        <is>
          <t>M. Weber</t>
        </is>
      </c>
      <c r="D4" s="7" t="inlineStr">
        <is>
          <t>Gemein</t>
        </is>
      </c>
      <c r="E4" s="8" t="n">
        <v>1850</v>
      </c>
      <c r="F4" s="8" t="n">
        <v>2145</v>
      </c>
      <c r="G4" s="9">
        <f>F4-E4</f>
        <v/>
      </c>
      <c r="H4" s="10">
        <f>IF(E4=0,"-",(F4-E4)/E4)</f>
        <v/>
      </c>
      <c r="I4" s="6" t="inlineStr">
        <is>
          <t>Höheres Reisebudget durch Messen H1; Q3-Normalisierung erwartet</t>
        </is>
      </c>
    </row>
    <row r="5" ht="16" customHeight="1">
      <c r="A5" s="4" t="n">
        <v>2</v>
      </c>
      <c r="B5" s="11" t="inlineStr">
        <is>
          <t>Vertrieb International</t>
        </is>
      </c>
      <c r="C5" s="12" t="inlineStr">
        <is>
          <t>S. Kühn</t>
        </is>
      </c>
      <c r="D5" s="13" t="inlineStr">
        <is>
          <t>Gemein</t>
        </is>
      </c>
      <c r="E5" s="8" t="n">
        <v>2300</v>
      </c>
      <c r="F5" s="8" t="n">
        <v>2190</v>
      </c>
      <c r="G5" s="14">
        <f>F5-E5</f>
        <v/>
      </c>
      <c r="H5" s="15">
        <f>IF(E5=0,"-",(F5-E5)/E5)</f>
        <v/>
      </c>
      <c r="I5" s="6" t="inlineStr">
        <is>
          <t>Projektverzögerung UK → Kosteneinsparung; Risiko Q4</t>
        </is>
      </c>
    </row>
    <row r="6" ht="16" customHeight="1">
      <c r="A6" s="4" t="n">
        <v>3</v>
      </c>
      <c r="B6" s="5" t="inlineStr">
        <is>
          <t>Marketing</t>
        </is>
      </c>
      <c r="C6" s="6" t="inlineStr">
        <is>
          <t>J. Bauer</t>
        </is>
      </c>
      <c r="D6" s="7" t="inlineStr">
        <is>
          <t>Gemein</t>
        </is>
      </c>
      <c r="E6" s="8" t="n">
        <v>780</v>
      </c>
      <c r="F6" s="8" t="n">
        <v>943</v>
      </c>
      <c r="G6" s="9">
        <f>F6-E6</f>
        <v/>
      </c>
      <c r="H6" s="10">
        <f>IF(E6=0,"-",(F6-E6)/E6)</f>
        <v/>
      </c>
      <c r="I6" s="6" t="inlineStr">
        <is>
          <t>Kampagnen-Mehrkosten Digital; Freigabe lag vor</t>
        </is>
      </c>
    </row>
    <row r="7" ht="16" customHeight="1">
      <c r="A7" s="4" t="n">
        <v>4</v>
      </c>
      <c r="B7" s="11" t="inlineStr">
        <is>
          <t>Produktmanagement</t>
        </is>
      </c>
      <c r="C7" s="12" t="inlineStr">
        <is>
          <t>T. Richter</t>
        </is>
      </c>
      <c r="D7" s="13" t="inlineStr">
        <is>
          <t>Gemein</t>
        </is>
      </c>
      <c r="E7" s="8" t="n">
        <v>560</v>
      </c>
      <c r="F7" s="8" t="n">
        <v>551</v>
      </c>
      <c r="G7" s="14">
        <f>F7-E7</f>
        <v/>
      </c>
      <c r="H7" s="15">
        <f>IF(E7=0,"-",(F7-E7)/E7)</f>
        <v/>
      </c>
      <c r="I7" s="6" t="inlineStr"/>
    </row>
    <row r="8" ht="16" customHeight="1">
      <c r="A8" s="4" t="n">
        <v>5</v>
      </c>
      <c r="B8" s="5" t="inlineStr">
        <is>
          <t>F&amp;E – Optik</t>
        </is>
      </c>
      <c r="C8" s="6" t="inlineStr">
        <is>
          <t>Dr. Lang</t>
        </is>
      </c>
      <c r="D8" s="7" t="inlineStr">
        <is>
          <t>Direkt</t>
        </is>
      </c>
      <c r="E8" s="8" t="n">
        <v>3200</v>
      </c>
      <c r="F8" s="8" t="n">
        <v>3410</v>
      </c>
      <c r="G8" s="9">
        <f>F8-E8</f>
        <v/>
      </c>
      <c r="H8" s="10">
        <f>IF(E8=0,"-",(F8-E8)/E8)</f>
        <v/>
      </c>
      <c r="I8" s="6" t="inlineStr">
        <is>
          <t>Zusätzliche Laborausstattung; Investition geplant aber falsch gebucht?</t>
        </is>
      </c>
    </row>
    <row r="9" ht="16" customHeight="1">
      <c r="A9" s="4" t="n">
        <v>6</v>
      </c>
      <c r="B9" s="11" t="inlineStr">
        <is>
          <t>F&amp;E – Software</t>
        </is>
      </c>
      <c r="C9" s="12" t="inlineStr">
        <is>
          <t>Dr. Müller</t>
        </is>
      </c>
      <c r="D9" s="13" t="inlineStr">
        <is>
          <t>Direkt</t>
        </is>
      </c>
      <c r="E9" s="8" t="n">
        <v>2750</v>
      </c>
      <c r="F9" s="8" t="n">
        <v>2688</v>
      </c>
      <c r="G9" s="14">
        <f>F9-E9</f>
        <v/>
      </c>
      <c r="H9" s="15">
        <f>IF(E9=0,"-",(F9-E9)/E9)</f>
        <v/>
      </c>
      <c r="I9" s="6" t="inlineStr"/>
    </row>
    <row r="10" ht="16" customHeight="1">
      <c r="A10" s="4" t="n">
        <v>7</v>
      </c>
      <c r="B10" s="5" t="inlineStr">
        <is>
          <t>F&amp;E – Mechanik</t>
        </is>
      </c>
      <c r="C10" s="6" t="inlineStr">
        <is>
          <t>K. Schmitt</t>
        </is>
      </c>
      <c r="D10" s="7" t="inlineStr">
        <is>
          <t>Direkt</t>
        </is>
      </c>
      <c r="E10" s="8" t="n">
        <v>1100</v>
      </c>
      <c r="F10" s="8" t="n">
        <v>1234</v>
      </c>
      <c r="G10" s="9">
        <f>F10-E10</f>
        <v/>
      </c>
      <c r="H10" s="10">
        <f>IF(E10=0,"-",(F10-E10)/E10)</f>
        <v/>
      </c>
      <c r="I10" s="6" t="inlineStr">
        <is>
          <t>Überarbeitung Mechanikkomponente – Mehraufwand extern</t>
        </is>
      </c>
    </row>
    <row r="11" ht="16" customHeight="1">
      <c r="A11" s="4" t="n">
        <v>8</v>
      </c>
      <c r="B11" s="11" t="inlineStr">
        <is>
          <t>Produktion – Linie A</t>
        </is>
      </c>
      <c r="C11" s="12" t="inlineStr">
        <is>
          <t>H. Fischer</t>
        </is>
      </c>
      <c r="D11" s="13" t="inlineStr">
        <is>
          <t>Direkt</t>
        </is>
      </c>
      <c r="E11" s="8" t="n">
        <v>4500</v>
      </c>
      <c r="F11" s="8" t="n">
        <v>4312</v>
      </c>
      <c r="G11" s="14">
        <f>F11-E11</f>
        <v/>
      </c>
      <c r="H11" s="15">
        <f>IF(E11=0,"-",(F11-E11)/E11)</f>
        <v/>
      </c>
      <c r="I11" s="6" t="inlineStr">
        <is>
          <t>Effizienzgewinn neue Anlage; positiv</t>
        </is>
      </c>
    </row>
    <row r="12" ht="16" customHeight="1">
      <c r="A12" s="4" t="n">
        <v>9</v>
      </c>
      <c r="B12" s="5" t="inlineStr">
        <is>
          <t>Produktion – Linie B</t>
        </is>
      </c>
      <c r="C12" s="6" t="inlineStr">
        <is>
          <t>H. Fischer</t>
        </is>
      </c>
      <c r="D12" s="7" t="inlineStr">
        <is>
          <t>Direkt</t>
        </is>
      </c>
      <c r="E12" s="8" t="n">
        <v>3800</v>
      </c>
      <c r="F12" s="8" t="n">
        <v>4105</v>
      </c>
      <c r="G12" s="9">
        <f>F12-E12</f>
        <v/>
      </c>
      <c r="H12" s="10">
        <f>IF(E12=0,"-",(F12-E12)/E12)</f>
        <v/>
      </c>
      <c r="I12" s="6" t="inlineStr">
        <is>
          <t>Schichtkosten gestiegen durch Krankenstand</t>
        </is>
      </c>
    </row>
    <row r="13" ht="16" customHeight="1">
      <c r="A13" s="4" t="n">
        <v>10</v>
      </c>
      <c r="B13" s="11" t="inlineStr">
        <is>
          <t>Qualitätssicherung</t>
        </is>
      </c>
      <c r="C13" s="12" t="inlineStr">
        <is>
          <t>R. Stein</t>
        </is>
      </c>
      <c r="D13" s="13" t="inlineStr">
        <is>
          <t>Direkt</t>
        </is>
      </c>
      <c r="E13" s="8" t="n">
        <v>920</v>
      </c>
      <c r="F13" s="8" t="n">
        <v>888</v>
      </c>
      <c r="G13" s="14">
        <f>F13-E13</f>
        <v/>
      </c>
      <c r="H13" s="15">
        <f>IF(E13=0,"-",(F13-E13)/E13)</f>
        <v/>
      </c>
      <c r="I13" s="6" t="inlineStr"/>
    </row>
    <row r="14" ht="16" customHeight="1">
      <c r="A14" s="4" t="n">
        <v>11</v>
      </c>
      <c r="B14" s="5" t="inlineStr">
        <is>
          <t>IT – Infrastruktur</t>
        </is>
      </c>
      <c r="C14" s="6" t="inlineStr">
        <is>
          <t>C. Braun</t>
        </is>
      </c>
      <c r="D14" s="7" t="inlineStr">
        <is>
          <t>Gemein</t>
        </is>
      </c>
      <c r="E14" s="8" t="n">
        <v>1200</v>
      </c>
      <c r="F14" s="8" t="n">
        <v>1387</v>
      </c>
      <c r="G14" s="9">
        <f>F14-E14</f>
        <v/>
      </c>
      <c r="H14" s="10">
        <f>IF(E14=0,"-",(F14-E14)/E14)</f>
        <v/>
      </c>
      <c r="I14" s="6" t="inlineStr">
        <is>
          <t>Lizenzerhöhung SAP nicht eingeplant; Budget-Lücke</t>
        </is>
      </c>
    </row>
    <row r="15" ht="16" customHeight="1">
      <c r="A15" s="4" t="n">
        <v>12</v>
      </c>
      <c r="B15" s="11" t="inlineStr">
        <is>
          <t>IT – Applikationen</t>
        </is>
      </c>
      <c r="C15" s="12" t="inlineStr">
        <is>
          <t>C. Braun</t>
        </is>
      </c>
      <c r="D15" s="13" t="inlineStr">
        <is>
          <t>Gemein</t>
        </is>
      </c>
      <c r="E15" s="8" t="n">
        <v>650</v>
      </c>
      <c r="F15" s="8" t="n">
        <v>621</v>
      </c>
      <c r="G15" s="14">
        <f>F15-E15</f>
        <v/>
      </c>
      <c r="H15" s="15">
        <f>IF(E15=0,"-",(F15-E15)/E15)</f>
        <v/>
      </c>
      <c r="I15" s="6" t="inlineStr"/>
    </row>
    <row r="16" ht="16" customHeight="1">
      <c r="A16" s="4" t="n">
        <v>13</v>
      </c>
      <c r="B16" s="5" t="inlineStr">
        <is>
          <t>HR</t>
        </is>
      </c>
      <c r="C16" s="6" t="inlineStr">
        <is>
          <t>A. Wolf</t>
        </is>
      </c>
      <c r="D16" s="7" t="inlineStr">
        <is>
          <t>Gemein</t>
        </is>
      </c>
      <c r="E16" s="8" t="n">
        <v>840</v>
      </c>
      <c r="F16" s="8" t="n">
        <v>862</v>
      </c>
      <c r="G16" s="9">
        <f>F16-E16</f>
        <v/>
      </c>
      <c r="H16" s="10">
        <f>IF(E16=0,"-",(F16-E16)/E16)</f>
        <v/>
      </c>
      <c r="I16" s="6" t="inlineStr">
        <is>
          <t>Tariferhöhung +3,5% ab Juli noch nicht in Plan</t>
        </is>
      </c>
    </row>
    <row r="17" ht="16" customHeight="1">
      <c r="A17" s="4" t="n">
        <v>14</v>
      </c>
      <c r="B17" s="11" t="inlineStr">
        <is>
          <t>Finance &amp; Controlling</t>
        </is>
      </c>
      <c r="C17" s="12" t="inlineStr">
        <is>
          <t>P. Maier</t>
        </is>
      </c>
      <c r="D17" s="13" t="inlineStr">
        <is>
          <t>Gemein</t>
        </is>
      </c>
      <c r="E17" s="8" t="n">
        <v>720</v>
      </c>
      <c r="F17" s="8" t="n">
        <v>698</v>
      </c>
      <c r="G17" s="14">
        <f>F17-E17</f>
        <v/>
      </c>
      <c r="H17" s="15">
        <f>IF(E17=0,"-",(F17-E17)/E17)</f>
        <v/>
      </c>
      <c r="I17" s="6" t="inlineStr"/>
    </row>
    <row r="18" ht="16" customHeight="1">
      <c r="A18" s="4" t="n">
        <v>15</v>
      </c>
      <c r="B18" s="5" t="inlineStr">
        <is>
          <t>Einkauf</t>
        </is>
      </c>
      <c r="C18" s="6" t="inlineStr">
        <is>
          <t>B. Kern</t>
        </is>
      </c>
      <c r="D18" s="7" t="inlineStr">
        <is>
          <t>Gemein</t>
        </is>
      </c>
      <c r="E18" s="8" t="n">
        <v>490</v>
      </c>
      <c r="F18" s="8" t="n">
        <v>512</v>
      </c>
      <c r="G18" s="9">
        <f>F18-E18</f>
        <v/>
      </c>
      <c r="H18" s="10">
        <f>IF(E18=0,"-",(F18-E18)/E18)</f>
        <v/>
      </c>
      <c r="I18" s="6" t="inlineStr">
        <is>
          <t>Spot-Einkäufe Material A; Lieferkettenproblem</t>
        </is>
      </c>
    </row>
    <row r="19" ht="16" customHeight="1">
      <c r="A19" s="4" t="n">
        <v>16</v>
      </c>
      <c r="B19" s="11" t="inlineStr">
        <is>
          <t>Facility Management</t>
        </is>
      </c>
      <c r="C19" s="12" t="inlineStr">
        <is>
          <t>N. Gross</t>
        </is>
      </c>
      <c r="D19" s="13" t="inlineStr">
        <is>
          <t>Gemein</t>
        </is>
      </c>
      <c r="E19" s="8" t="n">
        <v>380</v>
      </c>
      <c r="F19" s="8" t="n">
        <v>371</v>
      </c>
      <c r="G19" s="14">
        <f>F19-E19</f>
        <v/>
      </c>
      <c r="H19" s="15">
        <f>IF(E19=0,"-",(F19-E19)/E19)</f>
        <v/>
      </c>
      <c r="I19" s="6" t="inlineStr"/>
    </row>
    <row r="20" ht="18" customHeight="1">
      <c r="A20" s="16" t="n"/>
      <c r="B20" s="17" t="inlineStr">
        <is>
          <t>GESAMT</t>
        </is>
      </c>
      <c r="C20" s="16" t="n"/>
      <c r="D20" s="16" t="n"/>
      <c r="E20" s="18">
        <f>SUM(E4:E19)</f>
        <v/>
      </c>
      <c r="F20" s="18">
        <f>SUM(F4:F19)</f>
        <v/>
      </c>
      <c r="G20" s="19">
        <f>SUM(G4:G19)</f>
        <v/>
      </c>
      <c r="H20" s="20">
        <f>IF(E20=0,"-",(F20-E20)/E20)</f>
        <v/>
      </c>
      <c r="I20" s="16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B8A"/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  <col width="16" customWidth="1" min="8" max="8"/>
    <col width="12" customWidth="1" min="9" max="9"/>
    <col width="35" customWidth="1" min="10" max="10"/>
  </cols>
  <sheetData>
    <row r="1" ht="20" customHeight="1">
      <c r="A1" s="21" t="inlineStr">
        <is>
          <t>Umsatz-Pipeline | Projekte | Stand Oktober 2025 | Rohdaten CRM-Export — NICHT bereinigt</t>
        </is>
      </c>
    </row>
    <row r="2" ht="32" customHeight="1">
      <c r="A2" s="22" t="inlineStr">
        <is>
          <t>Projekt-ID</t>
        </is>
      </c>
      <c r="B2" s="22" t="inlineStr">
        <is>
          <t>Projektname</t>
        </is>
      </c>
      <c r="C2" s="22" t="inlineStr">
        <is>
          <t>Kunde</t>
        </is>
      </c>
      <c r="D2" s="22" t="inlineStr">
        <is>
          <t>Region</t>
        </is>
      </c>
      <c r="E2" s="22" t="inlineStr">
        <is>
          <t>Auftragseingang
(geplant)</t>
        </is>
      </c>
      <c r="F2" s="22" t="inlineStr">
        <is>
          <t>Wahrschein-
lichkeit %</t>
        </is>
      </c>
      <c r="G2" s="22" t="inlineStr">
        <is>
          <t>Auftragsvolumen
(TEUR)</t>
        </is>
      </c>
      <c r="H2" s="22" t="inlineStr">
        <is>
          <t>Erwarteter
Umsatz (TEUR)</t>
        </is>
      </c>
      <c r="I2" s="22" t="inlineStr">
        <is>
          <t>Status</t>
        </is>
      </c>
      <c r="J2" s="22" t="inlineStr">
        <is>
          <t>Anmerkung</t>
        </is>
      </c>
    </row>
    <row r="3" ht="15" customHeight="1">
      <c r="A3" s="23" t="inlineStr">
        <is>
          <t>PRJ-2025-001</t>
        </is>
      </c>
      <c r="B3" s="24" t="inlineStr">
        <is>
          <t>Inline-Inspektion Linie 3</t>
        </is>
      </c>
      <c r="C3" s="24" t="inlineStr">
        <is>
          <t>Kunde A</t>
        </is>
      </c>
      <c r="D3" s="24" t="inlineStr">
        <is>
          <t>DACH</t>
        </is>
      </c>
      <c r="E3" s="23" t="inlineStr">
        <is>
          <t>2025-10-15</t>
        </is>
      </c>
      <c r="F3" s="23" t="n">
        <v>90</v>
      </c>
      <c r="G3" s="25" t="n">
        <v>320</v>
      </c>
      <c r="H3" s="26">
        <f>IF(ISNUMBER(F3),G3*F3/100,"n/a")</f>
        <v/>
      </c>
      <c r="I3" s="24" t="inlineStr">
        <is>
          <t>Won</t>
        </is>
      </c>
      <c r="J3" s="24" t="inlineStr">
        <is>
          <t>Bereits beauftragt</t>
        </is>
      </c>
    </row>
    <row r="4" ht="15" customHeight="1">
      <c r="A4" s="27" t="inlineStr">
        <is>
          <t>PRJ-2025-002</t>
        </is>
      </c>
      <c r="B4" s="28" t="inlineStr">
        <is>
          <t>Surface Defect System</t>
        </is>
      </c>
      <c r="C4" s="28" t="inlineStr">
        <is>
          <t>Kunde B</t>
        </is>
      </c>
      <c r="D4" s="28" t="inlineStr">
        <is>
          <t>DACH</t>
        </is>
      </c>
      <c r="E4" s="27" t="inlineStr">
        <is>
          <t>2025-11-30</t>
        </is>
      </c>
      <c r="F4" s="27" t="n">
        <v>70</v>
      </c>
      <c r="G4" s="29" t="n">
        <v>850</v>
      </c>
      <c r="H4" s="26">
        <f>IF(ISNUMBER(F4),G4*F4/100,"n/a")</f>
        <v/>
      </c>
      <c r="I4" s="28" t="inlineStr">
        <is>
          <t>Proposal</t>
        </is>
      </c>
      <c r="J4" s="28" t="inlineStr">
        <is>
          <t>Angebot raus, Entscheidung Nov</t>
        </is>
      </c>
    </row>
    <row r="5" ht="15" customHeight="1">
      <c r="A5" s="27" t="inlineStr">
        <is>
          <t>PRJ-2025-003</t>
        </is>
      </c>
      <c r="B5" s="28" t="inlineStr">
        <is>
          <t>Barcode-Verifikation Werk 2</t>
        </is>
      </c>
      <c r="C5" s="28" t="inlineStr">
        <is>
          <t>Kunde C</t>
        </is>
      </c>
      <c r="D5" s="28" t="inlineStr">
        <is>
          <t>DACH</t>
        </is>
      </c>
      <c r="E5" s="27" t="inlineStr">
        <is>
          <t>2025-12-01</t>
        </is>
      </c>
      <c r="F5" s="27" t="n">
        <v>50</v>
      </c>
      <c r="G5" s="29" t="n">
        <v>210</v>
      </c>
      <c r="H5" s="26">
        <f>IF(ISNUMBER(F5),G5*F5/100,"n/a")</f>
        <v/>
      </c>
      <c r="I5" s="28" t="inlineStr">
        <is>
          <t>Proposal</t>
        </is>
      </c>
      <c r="J5" s="28" t="inlineStr">
        <is>
          <t>Wettbewerb mit Anbieter X</t>
        </is>
      </c>
    </row>
    <row r="6" ht="15" customHeight="1">
      <c r="A6" s="30" t="inlineStr">
        <is>
          <t>PRJ-2025-004</t>
        </is>
      </c>
      <c r="B6" s="31" t="inlineStr">
        <is>
          <t>3D-Messsystem Karosserie</t>
        </is>
      </c>
      <c r="C6" s="31" t="inlineStr">
        <is>
          <t>Kunde D</t>
        </is>
      </c>
      <c r="D6" s="31" t="inlineStr">
        <is>
          <t>EU</t>
        </is>
      </c>
      <c r="E6" s="30" t="inlineStr">
        <is>
          <t>01.11.2025</t>
        </is>
      </c>
      <c r="F6" s="30" t="n">
        <v>85</v>
      </c>
      <c r="G6" s="32" t="n">
        <v>1950</v>
      </c>
      <c r="H6" s="26">
        <f>IF(ISNUMBER(F6),G6*F6/100,"n/a")</f>
        <v/>
      </c>
      <c r="I6" s="31" t="inlineStr">
        <is>
          <t>Verbal</t>
        </is>
      </c>
      <c r="J6" s="31" t="inlineStr">
        <is>
          <t>Verbale Zusage, LoI erwartet</t>
        </is>
      </c>
    </row>
    <row r="7" ht="15" customHeight="1">
      <c r="A7" s="33" t="inlineStr">
        <is>
          <t>PRJ-2025-005</t>
        </is>
      </c>
      <c r="B7" s="34" t="inlineStr">
        <is>
          <t>Vision System Montage</t>
        </is>
      </c>
      <c r="C7" s="34" t="inlineStr">
        <is>
          <t>Kunde E</t>
        </is>
      </c>
      <c r="D7" s="34" t="inlineStr">
        <is>
          <t>EU</t>
        </is>
      </c>
      <c r="E7" s="33" t="inlineStr">
        <is>
          <t>2025-11-15</t>
        </is>
      </c>
      <c r="F7" s="33" t="inlineStr">
        <is>
          <t>hoch</t>
        </is>
      </c>
      <c r="G7" s="35" t="n">
        <v>450</v>
      </c>
      <c r="H7" s="26" t="inlineStr">
        <is>
          <t>n/a — Wahrscheinlichkeit prüfen</t>
        </is>
      </c>
      <c r="I7" s="34" t="inlineStr">
        <is>
          <t>Prospect</t>
        </is>
      </c>
      <c r="J7" s="34" t="inlineStr">
        <is>
          <t>Wahrscheinlichkeit unklar</t>
        </is>
      </c>
    </row>
    <row r="8" ht="15" customHeight="1">
      <c r="A8" s="27" t="inlineStr">
        <is>
          <t>PRJ-2025-006</t>
        </is>
      </c>
      <c r="B8" s="28" t="inlineStr">
        <is>
          <t>KI-Qualitätskontrolle Pilot</t>
        </is>
      </c>
      <c r="C8" s="28" t="inlineStr">
        <is>
          <t>Kunde F</t>
        </is>
      </c>
      <c r="D8" s="28" t="inlineStr">
        <is>
          <t>APAC</t>
        </is>
      </c>
      <c r="E8" s="27" t="inlineStr">
        <is>
          <t>15.12.2025</t>
        </is>
      </c>
      <c r="F8" s="27" t="n">
        <v>60</v>
      </c>
      <c r="G8" s="29" t="n">
        <v>2800</v>
      </c>
      <c r="H8" s="26">
        <f>IF(ISNUMBER(F8),G8*F8/100,"n/a")</f>
        <v/>
      </c>
      <c r="I8" s="28" t="inlineStr">
        <is>
          <t>Proposal</t>
        </is>
      </c>
      <c r="J8" s="28" t="inlineStr">
        <is>
          <t>Großprojekt; Budgetfreigabe ausst.</t>
        </is>
      </c>
    </row>
    <row r="9" ht="15" customHeight="1">
      <c r="A9" s="23" t="inlineStr">
        <is>
          <t>PRJ-2025-007</t>
        </is>
      </c>
      <c r="B9" s="24" t="inlineStr">
        <is>
          <t>Retrofit Bestandsanlage</t>
        </is>
      </c>
      <c r="C9" s="24" t="inlineStr">
        <is>
          <t>Kunde G</t>
        </is>
      </c>
      <c r="D9" s="24" t="inlineStr">
        <is>
          <t>DACH</t>
        </is>
      </c>
      <c r="E9" s="23" t="inlineStr">
        <is>
          <t>2025-10-31</t>
        </is>
      </c>
      <c r="F9" s="23" t="n">
        <v>95</v>
      </c>
      <c r="G9" s="25" t="n">
        <v>180</v>
      </c>
      <c r="H9" s="26">
        <f>IF(ISNUMBER(F9),G9*F9/100,"n/a")</f>
        <v/>
      </c>
      <c r="I9" s="24" t="inlineStr">
        <is>
          <t>Won</t>
        </is>
      </c>
      <c r="J9" s="24" t="inlineStr">
        <is>
          <t>Lieferung November</t>
        </is>
      </c>
    </row>
    <row r="10" ht="15" customHeight="1">
      <c r="A10" s="33" t="inlineStr">
        <is>
          <t>PRJ-2025-008</t>
        </is>
      </c>
      <c r="B10" s="34" t="inlineStr">
        <is>
          <t>Laser-Triangulation Q-Check</t>
        </is>
      </c>
      <c r="C10" s="34" t="inlineStr">
        <is>
          <t>Kunde H</t>
        </is>
      </c>
      <c r="D10" s="34" t="inlineStr">
        <is>
          <t>EU</t>
        </is>
      </c>
      <c r="E10" s="33" t="inlineStr">
        <is>
          <t>2025-12-15</t>
        </is>
      </c>
      <c r="F10" s="33" t="n">
        <v>40</v>
      </c>
      <c r="G10" s="35" t="n">
        <v>670</v>
      </c>
      <c r="H10" s="26">
        <f>IF(ISNUMBER(F10),G10*F10/100,"n/a")</f>
        <v/>
      </c>
      <c r="I10" s="34" t="inlineStr">
        <is>
          <t>Prospect</t>
        </is>
      </c>
      <c r="J10" s="34" t="inlineStr"/>
    </row>
    <row r="11" ht="15" customHeight="1">
      <c r="A11" s="27" t="inlineStr">
        <is>
          <t>PRJ-2025-009</t>
        </is>
      </c>
      <c r="B11" s="28" t="inlineStr">
        <is>
          <t>OCR-Etikettenkontrolle</t>
        </is>
      </c>
      <c r="C11" s="28" t="inlineStr">
        <is>
          <t>Kunde I</t>
        </is>
      </c>
      <c r="D11" s="28" t="inlineStr">
        <is>
          <t>Americas</t>
        </is>
      </c>
      <c r="E11" s="27" t="inlineStr">
        <is>
          <t>2025-11-01</t>
        </is>
      </c>
      <c r="F11" s="27" t="n">
        <v>75</v>
      </c>
      <c r="G11" s="29" t="n">
        <v>290</v>
      </c>
      <c r="H11" s="26">
        <f>IF(ISNUMBER(F11),G11*F11/100,"n/a")</f>
        <v/>
      </c>
      <c r="I11" s="28" t="inlineStr">
        <is>
          <t>Proposal</t>
        </is>
      </c>
      <c r="J11" s="28" t="inlineStr">
        <is>
          <t>US-Tochter Kunde A</t>
        </is>
      </c>
    </row>
    <row r="12" ht="15" customHeight="1">
      <c r="A12" s="33" t="inlineStr">
        <is>
          <t>PRJ-2025-010</t>
        </is>
      </c>
      <c r="B12" s="34" t="inlineStr">
        <is>
          <t>Inline-3D Schweißnaht</t>
        </is>
      </c>
      <c r="C12" s="34" t="inlineStr">
        <is>
          <t>Kunde J</t>
        </is>
      </c>
      <c r="D12" s="34" t="inlineStr">
        <is>
          <t>DACH</t>
        </is>
      </c>
      <c r="E12" s="33" t="inlineStr">
        <is>
          <t>2025-12-30</t>
        </is>
      </c>
      <c r="F12" s="33" t="n">
        <v>55</v>
      </c>
      <c r="G12" s="36" t="n">
        <v>15000</v>
      </c>
      <c r="H12" s="36">
        <f>IF(ISNUMBER(F12),G12*F12/100,"n/a")</f>
        <v/>
      </c>
      <c r="I12" s="34" t="inlineStr">
        <is>
          <t>Prospect</t>
        </is>
      </c>
      <c r="J12" s="37" t="inlineStr">
        <is>
          <t>ACHTUNG: Volumen plausibel prüfen!</t>
        </is>
      </c>
    </row>
    <row r="13" ht="15" customHeight="1">
      <c r="A13" s="33" t="inlineStr">
        <is>
          <t>PRJ-2025-011</t>
        </is>
      </c>
      <c r="B13" s="34" t="inlineStr">
        <is>
          <t>Texturerkennung Kunststoff</t>
        </is>
      </c>
      <c r="C13" s="34" t="inlineStr">
        <is>
          <t>Kunde K</t>
        </is>
      </c>
      <c r="D13" s="34" t="inlineStr">
        <is>
          <t>EU</t>
        </is>
      </c>
      <c r="E13" s="33" t="inlineStr">
        <is>
          <t>2026-01-15</t>
        </is>
      </c>
      <c r="F13" s="33" t="n">
        <v>30</v>
      </c>
      <c r="G13" s="35" t="n">
        <v>380</v>
      </c>
      <c r="H13" s="26">
        <f>IF(ISNUMBER(F13),G13*F13/100,"n/a")</f>
        <v/>
      </c>
      <c r="I13" s="34" t="inlineStr">
        <is>
          <t>Prospect</t>
        </is>
      </c>
      <c r="J13" s="34" t="inlineStr">
        <is>
          <t>Q1 2026 erwartet</t>
        </is>
      </c>
    </row>
    <row r="14" ht="15" customHeight="1">
      <c r="A14" s="30" t="inlineStr">
        <is>
          <t>PRJ-2025-012</t>
        </is>
      </c>
      <c r="B14" s="31" t="inlineStr">
        <is>
          <t>AOI-System PCB</t>
        </is>
      </c>
      <c r="C14" s="31" t="inlineStr">
        <is>
          <t>Kunde L</t>
        </is>
      </c>
      <c r="D14" s="31" t="inlineStr">
        <is>
          <t>APAC</t>
        </is>
      </c>
      <c r="E14" s="30" t="inlineStr">
        <is>
          <t>2025-11-30</t>
        </is>
      </c>
      <c r="F14" s="30" t="n">
        <v>65</v>
      </c>
      <c r="G14" s="32" t="n">
        <v>720</v>
      </c>
      <c r="H14" s="26">
        <f>IF(ISNUMBER(F14),G14*F14/100,"n/a")</f>
        <v/>
      </c>
      <c r="I14" s="31" t="inlineStr">
        <is>
          <t>Verbal</t>
        </is>
      </c>
      <c r="J14" s="31" t="inlineStr"/>
    </row>
    <row r="15" ht="15" customHeight="1">
      <c r="A15" s="27" t="inlineStr">
        <is>
          <t>PRJ-2025-013</t>
        </is>
      </c>
      <c r="B15" s="28" t="inlineStr">
        <is>
          <t>Farbkontrolle Automotive</t>
        </is>
      </c>
      <c r="C15" s="28" t="inlineStr">
        <is>
          <t>Kunde M</t>
        </is>
      </c>
      <c r="D15" s="28" t="inlineStr">
        <is>
          <t>EU</t>
        </is>
      </c>
      <c r="E15" s="27" t="inlineStr"/>
      <c r="F15" s="27" t="n">
        <v>45</v>
      </c>
      <c r="G15" s="29" t="n">
        <v>540</v>
      </c>
      <c r="H15" s="26">
        <f>IF(ISNUMBER(F15),G15*F15/100,"n/a")</f>
        <v/>
      </c>
      <c r="I15" s="28" t="inlineStr">
        <is>
          <t>Proposal</t>
        </is>
      </c>
      <c r="J15" s="28" t="inlineStr">
        <is>
          <t>Datum fehlt im CRM</t>
        </is>
      </c>
    </row>
    <row r="16" ht="15" customHeight="1">
      <c r="A16" s="30" t="inlineStr">
        <is>
          <t>PRJ-2025-014</t>
        </is>
      </c>
      <c r="B16" s="31" t="inlineStr">
        <is>
          <t>Roboter-Guidance-System</t>
        </is>
      </c>
      <c r="C16" s="31" t="inlineStr">
        <is>
          <t>Kunde N</t>
        </is>
      </c>
      <c r="D16" s="31" t="inlineStr">
        <is>
          <t>DACH</t>
        </is>
      </c>
      <c r="E16" s="30" t="inlineStr">
        <is>
          <t>2025-12-15</t>
        </is>
      </c>
      <c r="F16" s="30" t="n">
        <v>80</v>
      </c>
      <c r="G16" s="32" t="n">
        <v>1100</v>
      </c>
      <c r="H16" s="26">
        <f>IF(ISNUMBER(F16),G16*F16/100,"n/a")</f>
        <v/>
      </c>
      <c r="I16" s="31" t="inlineStr">
        <is>
          <t>Verbal</t>
        </is>
      </c>
      <c r="J16" s="31" t="inlineStr">
        <is>
          <t>Parallel zu PRJ-2025-004</t>
        </is>
      </c>
    </row>
    <row r="17">
      <c r="A17" s="38" t="n"/>
      <c r="B17" s="39" t="inlineStr">
        <is>
          <t>SUMME PIPELINE (inkl. Ausreißer — prüfen!)</t>
        </is>
      </c>
      <c r="C17" s="39" t="n"/>
      <c r="D17" s="39" t="n"/>
      <c r="E17" s="39" t="n"/>
      <c r="F17" s="39" t="n"/>
      <c r="G17" s="40">
        <f>SUM(G3:G16)</f>
        <v/>
      </c>
      <c r="H17" s="40">
        <f>SUMIF(H3:H16,"&lt;&gt;n/a*",H3:H16)</f>
        <v/>
      </c>
      <c r="I17" s="39" t="n"/>
      <c r="J17" s="39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7BA8"/>
    <outlinePr summaryBelow="1" summaryRight="1"/>
    <pageSetUpPr/>
  </sheetPr>
  <dimension ref="A1:O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41" t="inlineStr">
        <is>
          <t>KPI-Übersicht | Monatswerte 2025 | Alle Beträge TEUR | Margen in %</t>
        </is>
      </c>
    </row>
    <row r="2" ht="32" customHeight="1">
      <c r="A2" s="3" t="inlineStr">
        <is>
          <t>KPI</t>
        </is>
      </c>
      <c r="B2" s="3" t="inlineStr">
        <is>
          <t>Einheit</t>
        </is>
      </c>
      <c r="C2" s="3" t="inlineStr">
        <is>
          <t>Jan</t>
        </is>
      </c>
      <c r="D2" s="3" t="inlineStr">
        <is>
          <t>Feb</t>
        </is>
      </c>
      <c r="E2" s="3" t="inlineStr">
        <is>
          <t>Mär</t>
        </is>
      </c>
      <c r="F2" s="3" t="inlineStr">
        <is>
          <t>Apr</t>
        </is>
      </c>
      <c r="G2" s="3" t="inlineStr">
        <is>
          <t>Mai</t>
        </is>
      </c>
      <c r="H2" s="3" t="inlineStr">
        <is>
          <t>Jun</t>
        </is>
      </c>
      <c r="I2" s="3" t="inlineStr">
        <is>
          <t>Jul</t>
        </is>
      </c>
      <c r="J2" s="3" t="inlineStr">
        <is>
          <t>Aug</t>
        </is>
      </c>
      <c r="K2" s="3" t="inlineStr">
        <is>
          <t>Sep</t>
        </is>
      </c>
      <c r="L2" s="42" t="inlineStr">
        <is>
          <t>Okt
(FC)</t>
        </is>
      </c>
      <c r="M2" s="42" t="inlineStr">
        <is>
          <t>Nov
(FC)</t>
        </is>
      </c>
      <c r="N2" s="42" t="inlineStr">
        <is>
          <t>Dez
(FC)</t>
        </is>
      </c>
      <c r="O2" s="22" t="inlineStr">
        <is>
          <t>YTD Ist</t>
        </is>
      </c>
    </row>
    <row r="3" ht="16" customHeight="1">
      <c r="A3" s="43" t="inlineStr">
        <is>
          <t>Auftragseingang</t>
        </is>
      </c>
      <c r="B3" s="44" t="inlineStr">
        <is>
          <t>TEUR</t>
        </is>
      </c>
      <c r="C3" s="45" t="n">
        <v>2800</v>
      </c>
      <c r="D3" s="45" t="n">
        <v>3100</v>
      </c>
      <c r="E3" s="45" t="n">
        <v>3500</v>
      </c>
      <c r="F3" s="45" t="n">
        <v>2900</v>
      </c>
      <c r="G3" s="45" t="n">
        <v>2200</v>
      </c>
      <c r="H3" s="45" t="n">
        <v>3800</v>
      </c>
      <c r="I3" s="45" t="n">
        <v>4100</v>
      </c>
      <c r="J3" s="45" t="n">
        <v>3600</v>
      </c>
      <c r="K3" s="45" t="n">
        <v>3900</v>
      </c>
      <c r="L3" s="46" t="n">
        <v>3700</v>
      </c>
      <c r="M3" s="46" t="n">
        <v>3800</v>
      </c>
      <c r="N3" s="46" t="n">
        <v>4000</v>
      </c>
      <c r="O3" s="47">
        <f>SUM(C3:K3)</f>
        <v/>
      </c>
    </row>
    <row r="4" ht="16" customHeight="1">
      <c r="A4" s="43" t="inlineStr">
        <is>
          <t>Umsatz</t>
        </is>
      </c>
      <c r="B4" s="44" t="inlineStr">
        <is>
          <t>TEUR</t>
        </is>
      </c>
      <c r="C4" s="45" t="n">
        <v>2450</v>
      </c>
      <c r="D4" s="45" t="n">
        <v>2680</v>
      </c>
      <c r="E4" s="45" t="n">
        <v>3100</v>
      </c>
      <c r="F4" s="45" t="n">
        <v>2750</v>
      </c>
      <c r="G4" s="45" t="n">
        <v>2600</v>
      </c>
      <c r="H4" s="45" t="n">
        <v>3200</v>
      </c>
      <c r="I4" s="45" t="n">
        <v>3400</v>
      </c>
      <c r="J4" s="45" t="n">
        <v>3100</v>
      </c>
      <c r="K4" s="45" t="n">
        <v>3300</v>
      </c>
      <c r="L4" s="46" t="n">
        <v>3200</v>
      </c>
      <c r="M4" s="46" t="n">
        <v>3350</v>
      </c>
      <c r="N4" s="46" t="n">
        <v>3600</v>
      </c>
      <c r="O4" s="47">
        <f>SUM(C4:K4)</f>
        <v/>
      </c>
    </row>
    <row r="5" ht="16" customHeight="1">
      <c r="A5" s="43" t="inlineStr">
        <is>
          <t>Rohertrag</t>
        </is>
      </c>
      <c r="B5" s="44" t="inlineStr">
        <is>
          <t>TEUR</t>
        </is>
      </c>
      <c r="C5" s="45" t="n">
        <v>956</v>
      </c>
      <c r="D5" s="45" t="n">
        <v>1072</v>
      </c>
      <c r="E5" s="45" t="n">
        <v>1271</v>
      </c>
      <c r="F5" s="45" t="n">
        <v>1045</v>
      </c>
      <c r="G5" s="45" t="n">
        <v>936</v>
      </c>
      <c r="H5" s="45" t="n">
        <v>1344</v>
      </c>
      <c r="I5" s="45" t="n">
        <v>1462</v>
      </c>
      <c r="J5" s="45" t="n">
        <v>1271</v>
      </c>
      <c r="K5" s="45" t="n">
        <v>1386</v>
      </c>
      <c r="L5" s="46">
        <f>ROUND(L4*0.42,0)</f>
        <v/>
      </c>
      <c r="M5" s="46">
        <f>ROUND(M4*0.42,0)</f>
        <v/>
      </c>
      <c r="N5" s="46">
        <f>ROUND(N4*0.42,0)</f>
        <v/>
      </c>
      <c r="O5" s="47">
        <f>SUM(C5:K5)</f>
        <v/>
      </c>
    </row>
    <row r="6" ht="16" customHeight="1">
      <c r="A6" s="43" t="inlineStr">
        <is>
          <t>Rohertragsmarge</t>
        </is>
      </c>
      <c r="B6" s="44" t="inlineStr">
        <is>
          <t>%</t>
        </is>
      </c>
      <c r="C6" s="48">
        <f>IF(C4=0,"-",C5/C4)</f>
        <v/>
      </c>
      <c r="D6" s="48">
        <f>IF(D4=0,"-",D5/D4)</f>
        <v/>
      </c>
      <c r="E6" s="48">
        <f>IF(E4=0,"-",E5/E4)</f>
        <v/>
      </c>
      <c r="F6" s="48">
        <f>IF(F4=0,"-",F5/F4)</f>
        <v/>
      </c>
      <c r="G6" s="48">
        <f>IF(G4=0,"-",G5/G4)</f>
        <v/>
      </c>
      <c r="H6" s="48">
        <f>IF(H4=0,"-",H5/H4)</f>
        <v/>
      </c>
      <c r="I6" s="48">
        <f>IF(I4=0,"-",I5/I4)</f>
        <v/>
      </c>
      <c r="J6" s="48">
        <f>IF(J4=0,"-",J5/J4)</f>
        <v/>
      </c>
      <c r="K6" s="48">
        <f>IF(K4=0,"-",K5/K4)</f>
        <v/>
      </c>
      <c r="L6" s="49">
        <f>IF(L4=0,"-",L5/L4)</f>
        <v/>
      </c>
      <c r="M6" s="49">
        <f>IF(M4=0,"-",M5/M4)</f>
        <v/>
      </c>
      <c r="N6" s="49">
        <f>IF(N4=0,"-",N5/N4)</f>
        <v/>
      </c>
      <c r="O6" s="50">
        <f>IF(SUM(C4:K4)=0,"-",SUM(C5:K5)/SUM(C4:K4))</f>
        <v/>
      </c>
    </row>
    <row r="7" ht="16" customHeight="1">
      <c r="A7" s="43" t="inlineStr">
        <is>
          <t>EBIT</t>
        </is>
      </c>
      <c r="B7" s="44" t="inlineStr">
        <is>
          <t>TEUR</t>
        </is>
      </c>
      <c r="C7" s="45" t="n">
        <v>220</v>
      </c>
      <c r="D7" s="45" t="n">
        <v>240</v>
      </c>
      <c r="E7" s="45" t="n">
        <v>310</v>
      </c>
      <c r="F7" s="45" t="n">
        <v>180</v>
      </c>
      <c r="G7" s="45" t="n">
        <v>90</v>
      </c>
      <c r="H7" s="45" t="n">
        <v>340</v>
      </c>
      <c r="I7" s="45" t="n">
        <v>380</v>
      </c>
      <c r="J7" s="45" t="n">
        <v>290</v>
      </c>
      <c r="K7" s="45" t="n">
        <v>320</v>
      </c>
      <c r="L7" s="46" t="n">
        <v>310</v>
      </c>
      <c r="M7" s="46" t="n">
        <v>330</v>
      </c>
      <c r="N7" s="46" t="n">
        <v>360</v>
      </c>
      <c r="O7" s="47">
        <f>SUM(C7:K7)</f>
        <v/>
      </c>
    </row>
    <row r="8" ht="16" customHeight="1">
      <c r="A8" s="43" t="inlineStr">
        <is>
          <t>EBIT-Marge</t>
        </is>
      </c>
      <c r="B8" s="44" t="inlineStr">
        <is>
          <t>%</t>
        </is>
      </c>
      <c r="C8" s="48">
        <f>IF(C4=0,"-",C7/C4)</f>
        <v/>
      </c>
      <c r="D8" s="48">
        <f>IF(D4=0,"-",D7/D4)</f>
        <v/>
      </c>
      <c r="E8" s="48">
        <f>IF(E4=0,"-",E7/E4)</f>
        <v/>
      </c>
      <c r="F8" s="48">
        <f>IF(F4=0,"-",F7/F4)</f>
        <v/>
      </c>
      <c r="G8" s="48">
        <f>IF(G4=0,"-",G7/G4)</f>
        <v/>
      </c>
      <c r="H8" s="48">
        <f>IF(H4=0,"-",H7/H4)</f>
        <v/>
      </c>
      <c r="I8" s="48">
        <f>IF(I4=0,"-",I7/I4)</f>
        <v/>
      </c>
      <c r="J8" s="48">
        <f>IF(J4=0,"-",J7/J4)</f>
        <v/>
      </c>
      <c r="K8" s="48">
        <f>IF(K4=0,"-",K7/K4)</f>
        <v/>
      </c>
      <c r="L8" s="49">
        <f>IF(L4=0,"-",L7/L4)</f>
        <v/>
      </c>
      <c r="M8" s="49">
        <f>IF(M4=0,"-",M7/M4)</f>
        <v/>
      </c>
      <c r="N8" s="49">
        <f>IF(N4=0,"-",N7/N4)</f>
        <v/>
      </c>
      <c r="O8" s="50">
        <f>IF(SUM(C4:K4)=0,"-",SUM(C7:K7)/SUM(C4:K4))</f>
        <v/>
      </c>
    </row>
    <row r="9" ht="16" customHeight="1">
      <c r="A9" s="43" t="inlineStr">
        <is>
          <t>Headcount</t>
        </is>
      </c>
      <c r="B9" s="44" t="inlineStr">
        <is>
          <t>FTE</t>
        </is>
      </c>
      <c r="C9" s="51" t="n">
        <v>142</v>
      </c>
      <c r="D9" s="51" t="n">
        <v>142</v>
      </c>
      <c r="E9" s="51" t="n">
        <v>143</v>
      </c>
      <c r="F9" s="51" t="n">
        <v>145</v>
      </c>
      <c r="G9" s="51" t="n">
        <v>145</v>
      </c>
      <c r="H9" s="51" t="n">
        <v>146</v>
      </c>
      <c r="I9" s="51" t="n">
        <v>147</v>
      </c>
      <c r="J9" s="51" t="n">
        <v>147</v>
      </c>
      <c r="K9" s="51" t="n">
        <v>148</v>
      </c>
      <c r="L9" s="52" t="n">
        <v>148</v>
      </c>
      <c r="M9" s="52" t="n">
        <v>149</v>
      </c>
      <c r="N9" s="52" t="n">
        <v>150</v>
      </c>
      <c r="O9" s="53" t="n">
        <v>148</v>
      </c>
    </row>
    <row r="10" ht="16" customHeight="1">
      <c r="A10" s="43" t="inlineStr">
        <is>
          <t>DSO</t>
        </is>
      </c>
      <c r="B10" s="44" t="inlineStr">
        <is>
          <t>Tage</t>
        </is>
      </c>
      <c r="C10" s="51" t="n">
        <v>62</v>
      </c>
      <c r="D10" s="51" t="n">
        <v>58</v>
      </c>
      <c r="E10" s="51" t="n">
        <v>65</v>
      </c>
      <c r="F10" s="51" t="n">
        <v>70</v>
      </c>
      <c r="G10" s="51" t="n">
        <v>72</v>
      </c>
      <c r="H10" s="51" t="n">
        <v>68</v>
      </c>
      <c r="I10" s="51" t="n">
        <v>64</v>
      </c>
      <c r="J10" s="51" t="n">
        <v>63</v>
      </c>
      <c r="K10" s="51" t="n">
        <v>61</v>
      </c>
      <c r="L10" s="52" t="n">
        <v>62</v>
      </c>
      <c r="M10" s="52" t="n">
        <v>60</v>
      </c>
      <c r="N10" s="52" t="n">
        <v>58</v>
      </c>
      <c r="O10" s="54">
        <f>AVERAGE(C10:K10)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44C"/>
    <outlinePr summaryBelow="1" summaryRight="1"/>
    <pageSetUpPr/>
  </sheetPr>
  <dimension ref="B1:C2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5" customWidth="1" min="3" max="3"/>
  </cols>
  <sheetData>
    <row r="1" ht="28" customHeight="1">
      <c r="B1" s="55" t="inlineStr">
        <is>
          <t>Demo-Anleitung: KI im Controlling – Claude in Excel</t>
        </is>
      </c>
    </row>
    <row r="2" ht="16" customHeight="1">
      <c r="B2" s="56" t="inlineStr">
        <is>
          <t>Für interne Schulungszwecke | Alle Daten anonymisiert und fiktiv</t>
        </is>
      </c>
    </row>
    <row r="3" ht="18" customHeight="1"/>
    <row r="4" ht="22" customHeight="1">
      <c r="B4" s="57" t="inlineStr">
        <is>
          <t>WAS IST IN DIESER DATEI?</t>
        </is>
      </c>
    </row>
    <row r="5" ht="18" customHeight="1">
      <c r="B5" s="58" t="inlineStr">
        <is>
          <t>Tabellenblatt</t>
        </is>
      </c>
      <c r="C5" s="58" t="inlineStr">
        <is>
          <t>Inhalt &amp; Schulungs-Use-Case</t>
        </is>
      </c>
    </row>
    <row r="6" ht="28" customHeight="1">
      <c r="B6" s="59" t="inlineStr">
        <is>
          <t>Ist-Plan Kostenstellen</t>
        </is>
      </c>
      <c r="C6" s="60" t="inlineStr">
        <is>
          <t>16 Kostenstellen mit Plan/Ist-Vergleich, bewusst unterschiedliche Abweichungen und teils fehlende Kommentare</t>
        </is>
      </c>
    </row>
    <row r="7" ht="28" customHeight="1">
      <c r="B7" s="59" t="inlineStr">
        <is>
          <t>Umsatz-Pipeline</t>
        </is>
      </c>
      <c r="C7" s="60" t="inlineStr">
        <is>
          <t>CRM-Rohdaten mit typischen Fehlern: gemischte Datumsformate, fehlende Werte, ein offensichtlicher Ausreißer, Text statt Zahl</t>
        </is>
      </c>
    </row>
    <row r="8" ht="28" customHeight="1">
      <c r="B8" s="59" t="inlineStr">
        <is>
          <t>KPI-Zeitreihe</t>
        </is>
      </c>
      <c r="C8" s="60" t="inlineStr">
        <is>
          <t>9 Monate Ist + 3 Monate Forecast. Formeln fuer Margen. Saisonalitaet und Delle im Mai erkennbar.</t>
        </is>
      </c>
    </row>
    <row r="9" ht="18" customHeight="1"/>
    <row r="10" ht="28" customHeight="1">
      <c r="B10" s="59" t="inlineStr">
        <is>
          <t>DEMO-PROMPTS FUER CLAUDE IN EXCEL / CLAUDE.AI</t>
        </is>
      </c>
      <c r="C10" s="60" t="inlineStr"/>
    </row>
    <row r="11" ht="28" customHeight="1">
      <c r="B11" s="59" t="inlineStr">
        <is>
          <t>Einstieg (Copilot in Excel)</t>
        </is>
      </c>
      <c r="C11" s="60" t="inlineStr">
        <is>
          <t>Analysiere diese Tabelle und zeige mir die 3 Kostenstellen mit der groessten Ueberziehung in Prozent.</t>
        </is>
      </c>
    </row>
    <row r="12" ht="28" customHeight="1">
      <c r="B12" s="59" t="inlineStr">
        <is>
          <t>Analyse (Claude.ai)</t>
        </is>
      </c>
      <c r="C12" s="60" t="inlineStr">
        <is>
          <t>Du bist ein erfahrener Controller. Identifiziere die Top-3-Abweichungstreiber und schreibe einen CFO-Kommentar in max. 5 Saetzen.</t>
        </is>
      </c>
    </row>
    <row r="13" ht="28" customHeight="1">
      <c r="B13" s="59" t="inlineStr">
        <is>
          <t>Datenqualitaet aufdecken</t>
        </is>
      </c>
      <c r="C13" s="60" t="inlineStr">
        <is>
          <t>Pruefe die Pipeline-Tabelle auf Datenqualitaetsprobleme: fehlende Werte, inkonsistente Formate, Ausreisser. Liste alle Probleme strukturiert auf.</t>
        </is>
      </c>
    </row>
    <row r="14" ht="28" customHeight="1">
      <c r="B14" s="59" t="inlineStr">
        <is>
          <t>Forecast / Kommentierung</t>
        </is>
      </c>
      <c r="C14" s="60" t="inlineStr">
        <is>
          <t>Schreibe auf Basis der KPI-Zeitreihe einen Management-Kommentar fuer die ersten 9 Monate. Hebe die Delle im Mai und die Erholungsdynamik hervor.</t>
        </is>
      </c>
    </row>
    <row r="15" ht="28" customHeight="1">
      <c r="B15" s="59" t="inlineStr">
        <is>
          <t>Code-Generierung</t>
        </is>
      </c>
      <c r="C15" s="60" t="inlineStr">
        <is>
          <t>Schreibe mir Python-Code, der diese Excel-Datei einliest und eine Umsatz-Bridge als Plotly-Chart erstellt.</t>
        </is>
      </c>
    </row>
    <row r="16" ht="18" customHeight="1"/>
    <row r="17" ht="22" customHeight="1">
      <c r="B17" s="57" t="inlineStr">
        <is>
          <t>BEWUSSTE FEHLER IN DEN DATEN</t>
        </is>
      </c>
    </row>
    <row r="18" ht="28" customHeight="1">
      <c r="B18" s="59" t="inlineStr">
        <is>
          <t>Gemischte Datumsformate</t>
        </is>
      </c>
      <c r="C18" s="60" t="inlineStr">
        <is>
          <t>Pipeline-Tab: DE-Format (01.11.2025) neben ISO-Format (2025-11-15) - Claude soll das erkennen</t>
        </is>
      </c>
    </row>
    <row r="19" ht="28" customHeight="1">
      <c r="B19" s="59" t="inlineStr">
        <is>
          <t>Text statt Zahl</t>
        </is>
      </c>
      <c r="C19" s="60" t="inlineStr">
        <is>
          <t>Zeile PRJ-2025-005: Wahrscheinlichkeit = hoch statt Prozentzahl</t>
        </is>
      </c>
    </row>
    <row r="20" ht="28" customHeight="1">
      <c r="B20" s="59" t="inlineStr">
        <is>
          <t>Fehlendes Datum</t>
        </is>
      </c>
      <c r="C20" s="60" t="inlineStr">
        <is>
          <t>Zeile PRJ-2025-013: Auftragseingang leer</t>
        </is>
      </c>
    </row>
    <row r="21" ht="28" customHeight="1">
      <c r="B21" s="59" t="inlineStr">
        <is>
          <t>Ausreisser-Projekt</t>
        </is>
      </c>
      <c r="C21" s="60" t="inlineStr">
        <is>
          <t>PRJ-2025-010: 15 Mio. TEUR in der Pipeline - extrem hoch, rot markiert</t>
        </is>
      </c>
    </row>
    <row r="22" ht="28" customHeight="1">
      <c r="B22" s="59" t="inlineStr">
        <is>
          <t>Fehlende Kommentare</t>
        </is>
      </c>
      <c r="C22" s="60" t="inlineStr">
        <is>
          <t>Kostenstellen ohne Begruendung fuer Abweichungen &gt; 5%</t>
        </is>
      </c>
    </row>
  </sheetData>
  <mergeCells count="4">
    <mergeCell ref="B4:C4"/>
    <mergeCell ref="B1:C1"/>
    <mergeCell ref="B2:C2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2026-03-20T06:44:46Z</dcterms:created>
  <dcterms:modified xmlns:dcterms="http://purl.org/dc/terms/" xmlns:xsi="http://www.w3.org/2001/XMLSchema-instance" xsi:type="dcterms:W3CDTF">2026-03-20T06:44:46Z</dcterms:modified>
</cp:coreProperties>
</file>