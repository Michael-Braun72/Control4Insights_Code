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Annahmen" sheetId="1" state="visible" r:id="rId1"/>
    <sheet xmlns:r="http://schemas.openxmlformats.org/officeDocument/2006/relationships" name="Gesamt P&amp;L" sheetId="2" state="visible" r:id="rId2"/>
    <sheet xmlns:r="http://schemas.openxmlformats.org/officeDocument/2006/relationships" name="Kennzahlen" sheetId="3" state="visible" r:id="rId3"/>
    <sheet xmlns:r="http://schemas.openxmlformats.org/officeDocument/2006/relationships" name="BreakEven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\ \€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color rgb="FF000000"/>
      <sz val="10"/>
    </font>
    <font>
      <name val="Calibri"/>
      <color rgb="FF7F6000"/>
      <sz val="10"/>
    </font>
    <font>
      <name val="Calibri"/>
      <b val="1"/>
      <color rgb="FF7F6000"/>
      <sz val="10"/>
    </font>
    <font>
      <name val="Calibri"/>
      <b val="1"/>
      <color rgb="FFFFFFFF"/>
      <sz val="13"/>
    </font>
    <font>
      <name val="Calibri"/>
      <b val="1"/>
      <color rgb="FF000000"/>
      <sz val="10"/>
    </font>
    <font>
      <name val="Calibri"/>
      <b val="1"/>
      <color rgb="FF1F3864"/>
      <sz val="10"/>
    </font>
    <font>
      <name val="Calibri"/>
      <b val="1"/>
      <color rgb="FF375623"/>
      <sz val="10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0" fillId="5" borderId="1" pivotButton="0" quotePrefix="0" xfId="0"/>
    <xf numFmtId="165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165" fontId="8" fillId="7" borderId="2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left" vertical="center"/>
    </xf>
    <xf numFmtId="165" fontId="3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165" fontId="8" fillId="8" borderId="2" applyAlignment="1" pivotButton="0" quotePrefix="0" xfId="0">
      <alignment horizontal="right" vertical="center"/>
    </xf>
    <xf numFmtId="164" fontId="0" fillId="8" borderId="0" applyAlignment="1" pivotButton="0" quotePrefix="0" xfId="0">
      <alignment horizontal="right" vertical="center"/>
    </xf>
    <xf numFmtId="165" fontId="9" fillId="9" borderId="2" applyAlignment="1" pivotButton="0" quotePrefix="0" xfId="0">
      <alignment horizontal="right" vertical="center"/>
    </xf>
    <xf numFmtId="164" fontId="9" fillId="9" borderId="0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5" fontId="9" fillId="9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left" vertical="center"/>
    </xf>
    <xf numFmtId="165" fontId="7" fillId="4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 indent="1"/>
    </xf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tabSelected="1" workbookViewId="0">
      <pane xSplit="2" ySplit="2" topLeftCell="C35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9.23046875" defaultRowHeight="14.6"/>
  <cols>
    <col width="38" customWidth="1" style="32" min="1" max="1"/>
    <col width="5" customWidth="1" style="32" min="2" max="2"/>
    <col width="14" customWidth="1" style="32" min="3" max="7"/>
  </cols>
  <sheetData>
    <row r="1" ht="32.05" customHeight="1" s="32">
      <c r="A1" s="31" t="inlineStr">
        <is>
          <t>Deckungsbeitragsrechnung – Annahmen &amp; Parameter</t>
        </is>
      </c>
    </row>
    <row r="2">
      <c r="A2" s="1" t="inlineStr">
        <is>
          <t>Parameter</t>
        </is>
      </c>
      <c r="B2" s="1" t="inlineStr">
        <is>
          <t>Einheit</t>
        </is>
      </c>
      <c r="C2" s="1" t="inlineStr">
        <is>
          <t>2025</t>
        </is>
      </c>
      <c r="D2" s="1" t="inlineStr">
        <is>
          <t>2026</t>
        </is>
      </c>
      <c r="E2" s="1" t="inlineStr">
        <is>
          <t>2027</t>
        </is>
      </c>
      <c r="F2" s="1" t="inlineStr">
        <is>
          <t>2028</t>
        </is>
      </c>
      <c r="G2" s="1" t="inlineStr">
        <is>
          <t>2029</t>
        </is>
      </c>
    </row>
    <row r="3" ht="18" customHeight="1" s="32">
      <c r="A3" s="2" t="inlineStr">
        <is>
          <t>1. Umsatzwachstum p.a.</t>
        </is>
      </c>
      <c r="B3" s="3" t="n"/>
      <c r="C3" s="3" t="n"/>
      <c r="D3" s="3" t="n"/>
      <c r="E3" s="3" t="n"/>
      <c r="F3" s="3" t="n"/>
      <c r="G3" s="3" t="n"/>
    </row>
    <row r="4">
      <c r="A4" s="4" t="inlineStr">
        <is>
          <t>Produktverkauf</t>
        </is>
      </c>
      <c r="B4" s="5" t="inlineStr">
        <is>
          <t>%</t>
        </is>
      </c>
      <c r="C4" s="6" t="n">
        <v>0</v>
      </c>
      <c r="D4" s="6" t="n">
        <v>0.05</v>
      </c>
      <c r="E4" s="6" t="n">
        <v>0.05</v>
      </c>
      <c r="F4" s="6" t="n">
        <v>0.05</v>
      </c>
      <c r="G4" s="6" t="n">
        <v>0.05</v>
      </c>
    </row>
    <row r="5">
      <c r="A5" s="4" t="inlineStr">
        <is>
          <t>Serviceleistungen</t>
        </is>
      </c>
      <c r="B5" s="5" t="inlineStr">
        <is>
          <t>%</t>
        </is>
      </c>
      <c r="C5" s="6" t="n">
        <v>0</v>
      </c>
      <c r="D5" s="6" t="n">
        <v>0.05</v>
      </c>
      <c r="E5" s="6" t="n">
        <v>0.05</v>
      </c>
      <c r="F5" s="6" t="n">
        <v>0.05</v>
      </c>
      <c r="G5" s="6" t="n">
        <v>0.05</v>
      </c>
    </row>
    <row r="6">
      <c r="A6" s="4" t="inlineStr">
        <is>
          <t>Lizenzeinnahmen</t>
        </is>
      </c>
      <c r="B6" s="5" t="inlineStr">
        <is>
          <t>%</t>
        </is>
      </c>
      <c r="C6" s="6" t="n">
        <v>0</v>
      </c>
      <c r="D6" s="6" t="n">
        <v>0.05</v>
      </c>
      <c r="E6" s="6" t="n">
        <v>0.05</v>
      </c>
      <c r="F6" s="6" t="n">
        <v>0.05</v>
      </c>
      <c r="G6" s="6" t="n">
        <v>0.05</v>
      </c>
    </row>
    <row r="7">
      <c r="A7" s="4" t="inlineStr">
        <is>
          <t>Sonstiger Umsatz</t>
        </is>
      </c>
      <c r="B7" s="5" t="inlineStr">
        <is>
          <t>%</t>
        </is>
      </c>
      <c r="C7" s="6" t="n">
        <v>0</v>
      </c>
      <c r="D7" s="6" t="n">
        <v>0.05</v>
      </c>
      <c r="E7" s="6" t="n">
        <v>0.05</v>
      </c>
      <c r="F7" s="6" t="n">
        <v>0.05</v>
      </c>
      <c r="G7" s="6" t="n">
        <v>0.05</v>
      </c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2" t="inlineStr">
        <is>
          <t>2. Basisumsatz 2025 (€)</t>
        </is>
      </c>
      <c r="B9" s="3" t="n"/>
      <c r="C9" s="3" t="n"/>
      <c r="D9" s="3" t="n"/>
      <c r="E9" s="3" t="n"/>
      <c r="F9" s="3" t="n"/>
      <c r="G9" s="3" t="n"/>
    </row>
    <row r="10">
      <c r="A10" s="4" t="inlineStr">
        <is>
          <t>Produktverkauf</t>
        </is>
      </c>
      <c r="B10" s="5" t="inlineStr">
        <is>
          <t>€</t>
        </is>
      </c>
      <c r="C10" s="8" t="n">
        <v>500000</v>
      </c>
      <c r="D10" s="5" t="n"/>
      <c r="E10" s="5" t="n"/>
      <c r="F10" s="5" t="n"/>
      <c r="G10" s="5" t="n"/>
    </row>
    <row r="11">
      <c r="A11" s="4" t="inlineStr">
        <is>
          <t>Serviceleistungen</t>
        </is>
      </c>
      <c r="B11" s="5" t="inlineStr">
        <is>
          <t>€</t>
        </is>
      </c>
      <c r="C11" s="8" t="n">
        <v>200000</v>
      </c>
      <c r="D11" s="5" t="n"/>
      <c r="E11" s="5" t="n"/>
      <c r="F11" s="5" t="n"/>
      <c r="G11" s="5" t="n"/>
    </row>
    <row r="12">
      <c r="A12" s="4" t="inlineStr">
        <is>
          <t>Lizenzeinnahmen</t>
        </is>
      </c>
      <c r="B12" s="5" t="inlineStr">
        <is>
          <t>€</t>
        </is>
      </c>
      <c r="C12" s="8" t="n">
        <v>100000</v>
      </c>
      <c r="D12" s="5" t="n"/>
      <c r="E12" s="5" t="n"/>
      <c r="F12" s="5" t="n"/>
      <c r="G12" s="5" t="n"/>
    </row>
    <row r="13">
      <c r="A13" s="4" t="inlineStr">
        <is>
          <t>Sonstiger Umsatz</t>
        </is>
      </c>
      <c r="B13" s="5" t="inlineStr">
        <is>
          <t>€</t>
        </is>
      </c>
      <c r="C13" s="8" t="n">
        <v>50000</v>
      </c>
      <c r="D13" s="5" t="n"/>
      <c r="E13" s="5" t="n"/>
      <c r="F13" s="5" t="n"/>
      <c r="G13" s="5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2" t="inlineStr">
        <is>
          <t>3. Materialkostenquote (% vom Umsatz)</t>
        </is>
      </c>
      <c r="B15" s="3" t="n"/>
      <c r="C15" s="3" t="n"/>
      <c r="D15" s="3" t="n"/>
      <c r="E15" s="3" t="n"/>
      <c r="F15" s="3" t="n"/>
      <c r="G15" s="3" t="n"/>
    </row>
    <row r="16">
      <c r="A16" s="4" t="inlineStr">
        <is>
          <t>Produktverkauf</t>
        </is>
      </c>
      <c r="B16" s="5" t="inlineStr">
        <is>
          <t>%</t>
        </is>
      </c>
      <c r="C16" s="6" t="n">
        <v>0.35</v>
      </c>
      <c r="D16" s="6" t="n">
        <v>0.35</v>
      </c>
      <c r="E16" s="6" t="n">
        <v>0.35</v>
      </c>
      <c r="F16" s="6" t="n">
        <v>0.35</v>
      </c>
      <c r="G16" s="6" t="n">
        <v>0.35</v>
      </c>
    </row>
    <row r="17">
      <c r="A17" s="4" t="inlineStr">
        <is>
          <t>Serviceleistungen</t>
        </is>
      </c>
      <c r="B17" s="5" t="inlineStr">
        <is>
          <t>%</t>
        </is>
      </c>
      <c r="C17" s="6" t="n">
        <v>0.15</v>
      </c>
      <c r="D17" s="6" t="n">
        <v>0.15</v>
      </c>
      <c r="E17" s="6" t="n">
        <v>0.15</v>
      </c>
      <c r="F17" s="6" t="n">
        <v>0.15</v>
      </c>
      <c r="G17" s="6" t="n">
        <v>0.15</v>
      </c>
    </row>
    <row r="18">
      <c r="A18" s="4" t="inlineStr">
        <is>
          <t>Lizenzeinnahmen</t>
        </is>
      </c>
      <c r="B18" s="5" t="inlineStr">
        <is>
          <t>%</t>
        </is>
      </c>
      <c r="C18" s="6" t="n">
        <v>0.05</v>
      </c>
      <c r="D18" s="6" t="n">
        <v>0.05</v>
      </c>
      <c r="E18" s="6" t="n">
        <v>0.05</v>
      </c>
      <c r="F18" s="6" t="n">
        <v>0.05</v>
      </c>
      <c r="G18" s="6" t="n">
        <v>0.05</v>
      </c>
    </row>
    <row r="19">
      <c r="A19" s="4" t="inlineStr">
        <is>
          <t>Sonstiger Umsatz</t>
        </is>
      </c>
      <c r="B19" s="5" t="inlineStr">
        <is>
          <t>%</t>
        </is>
      </c>
      <c r="C19" s="6" t="n">
        <v>0.3</v>
      </c>
      <c r="D19" s="6" t="n">
        <v>0.3</v>
      </c>
      <c r="E19" s="6" t="n">
        <v>0.3</v>
      </c>
      <c r="F19" s="6" t="n">
        <v>0.3</v>
      </c>
      <c r="G19" s="6" t="n">
        <v>0.3</v>
      </c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2" t="inlineStr">
        <is>
          <t>4. Direkte Personalkosten (€ p.a.)</t>
        </is>
      </c>
      <c r="B21" s="3" t="n"/>
      <c r="C21" s="3" t="n"/>
      <c r="D21" s="3" t="n"/>
      <c r="E21" s="3" t="n"/>
      <c r="F21" s="3" t="n"/>
      <c r="G21" s="3" t="n"/>
    </row>
    <row r="22">
      <c r="A22" s="4" t="inlineStr">
        <is>
          <t>Produktverkauf</t>
        </is>
      </c>
      <c r="B22" s="5" t="inlineStr">
        <is>
          <t>€</t>
        </is>
      </c>
      <c r="C22" s="8" t="n">
        <v>120000</v>
      </c>
      <c r="D22" s="8" t="n">
        <v>120000</v>
      </c>
      <c r="E22" s="8" t="n">
        <v>120000</v>
      </c>
      <c r="F22" s="8" t="n">
        <v>120000</v>
      </c>
      <c r="G22" s="8" t="n">
        <v>120000</v>
      </c>
    </row>
    <row r="23">
      <c r="A23" s="4" t="inlineStr">
        <is>
          <t>Serviceleistungen</t>
        </is>
      </c>
      <c r="B23" s="5" t="inlineStr">
        <is>
          <t>€</t>
        </is>
      </c>
      <c r="C23" s="8" t="n">
        <v>60000</v>
      </c>
      <c r="D23" s="8" t="n">
        <v>60000</v>
      </c>
      <c r="E23" s="8" t="n">
        <v>60000</v>
      </c>
      <c r="F23" s="8" t="n">
        <v>60000</v>
      </c>
      <c r="G23" s="8" t="n">
        <v>60000</v>
      </c>
    </row>
    <row r="24">
      <c r="A24" s="4" t="inlineStr">
        <is>
          <t>Lizenzeinnahmen</t>
        </is>
      </c>
      <c r="B24" s="5" t="inlineStr">
        <is>
          <t>€</t>
        </is>
      </c>
      <c r="C24" s="8" t="n">
        <v>20000</v>
      </c>
      <c r="D24" s="8" t="n">
        <v>20000</v>
      </c>
      <c r="E24" s="8" t="n">
        <v>20000</v>
      </c>
      <c r="F24" s="8" t="n">
        <v>20000</v>
      </c>
      <c r="G24" s="8" t="n">
        <v>20000</v>
      </c>
    </row>
    <row r="25">
      <c r="A25" s="4" t="inlineStr">
        <is>
          <t>Sonstiger Umsatz</t>
        </is>
      </c>
      <c r="B25" s="5" t="inlineStr">
        <is>
          <t>€</t>
        </is>
      </c>
      <c r="C25" s="8" t="n">
        <v>15000</v>
      </c>
      <c r="D25" s="8" t="n">
        <v>15000</v>
      </c>
      <c r="E25" s="8" t="n">
        <v>15000</v>
      </c>
      <c r="F25" s="8" t="n">
        <v>15000</v>
      </c>
      <c r="G25" s="8" t="n">
        <v>15000</v>
      </c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2" t="inlineStr">
        <is>
          <t>5. Direkte sonstige Kosten (€ p.a.)</t>
        </is>
      </c>
      <c r="B27" s="3" t="n"/>
      <c r="C27" s="3" t="n"/>
      <c r="D27" s="3" t="n"/>
      <c r="E27" s="3" t="n"/>
      <c r="F27" s="3" t="n"/>
      <c r="G27" s="3" t="n"/>
    </row>
    <row r="28">
      <c r="A28" s="4" t="inlineStr">
        <is>
          <t>Produktverkauf</t>
        </is>
      </c>
      <c r="B28" s="5" t="inlineStr">
        <is>
          <t>€</t>
        </is>
      </c>
      <c r="C28" s="8" t="n">
        <v>30000</v>
      </c>
      <c r="D28" s="8" t="n">
        <v>30000</v>
      </c>
      <c r="E28" s="8" t="n">
        <v>30000</v>
      </c>
      <c r="F28" s="8" t="n">
        <v>30000</v>
      </c>
      <c r="G28" s="8" t="n">
        <v>30000</v>
      </c>
    </row>
    <row r="29">
      <c r="A29" s="4" t="inlineStr">
        <is>
          <t>Serviceleistungen</t>
        </is>
      </c>
      <c r="B29" s="5" t="inlineStr">
        <is>
          <t>€</t>
        </is>
      </c>
      <c r="C29" s="8" t="n">
        <v>15000</v>
      </c>
      <c r="D29" s="8" t="n">
        <v>15000</v>
      </c>
      <c r="E29" s="8" t="n">
        <v>15000</v>
      </c>
      <c r="F29" s="8" t="n">
        <v>15000</v>
      </c>
      <c r="G29" s="8" t="n">
        <v>15000</v>
      </c>
    </row>
    <row r="30">
      <c r="A30" s="4" t="inlineStr">
        <is>
          <t>Lizenzeinnahmen</t>
        </is>
      </c>
      <c r="B30" s="5" t="inlineStr">
        <is>
          <t>€</t>
        </is>
      </c>
      <c r="C30" s="8" t="n">
        <v>8000</v>
      </c>
      <c r="D30" s="8" t="n">
        <v>8000</v>
      </c>
      <c r="E30" s="8" t="n">
        <v>8000</v>
      </c>
      <c r="F30" s="8" t="n">
        <v>8000</v>
      </c>
      <c r="G30" s="8" t="n">
        <v>8000</v>
      </c>
    </row>
    <row r="31">
      <c r="A31" s="4" t="inlineStr">
        <is>
          <t>Sonstiger Umsatz</t>
        </is>
      </c>
      <c r="B31" s="5" t="inlineStr">
        <is>
          <t>€</t>
        </is>
      </c>
      <c r="C31" s="8" t="n">
        <v>5000</v>
      </c>
      <c r="D31" s="8" t="n">
        <v>5000</v>
      </c>
      <c r="E31" s="8" t="n">
        <v>5000</v>
      </c>
      <c r="F31" s="8" t="n">
        <v>5000</v>
      </c>
      <c r="G31" s="8" t="n">
        <v>5000</v>
      </c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2" t="inlineStr">
        <is>
          <t>6. Overhead DB2 – PersonalEx (€ p.a.)</t>
        </is>
      </c>
      <c r="B33" s="3" t="n"/>
      <c r="C33" s="3" t="n"/>
      <c r="D33" s="3" t="n"/>
      <c r="E33" s="3" t="n"/>
      <c r="F33" s="3" t="n"/>
      <c r="G33" s="3" t="n"/>
    </row>
    <row r="34">
      <c r="A34" s="4" t="inlineStr">
        <is>
          <t xml:space="preserve">  Verwaltung PerEx</t>
        </is>
      </c>
      <c r="B34" s="5" t="inlineStr">
        <is>
          <t>€</t>
        </is>
      </c>
      <c r="C34" s="8" t="n">
        <v>80000</v>
      </c>
      <c r="D34" s="8" t="n">
        <v>82000</v>
      </c>
      <c r="E34" s="8" t="n">
        <v>84000</v>
      </c>
      <c r="F34" s="8" t="n">
        <v>86000</v>
      </c>
      <c r="G34" s="8" t="n">
        <v>88000</v>
      </c>
    </row>
    <row r="35">
      <c r="A35" s="4" t="inlineStr">
        <is>
          <t xml:space="preserve">  Entwicklung PerEx</t>
        </is>
      </c>
      <c r="B35" s="5" t="inlineStr">
        <is>
          <t>€</t>
        </is>
      </c>
      <c r="C35" s="8" t="n">
        <v>50000</v>
      </c>
      <c r="D35" s="8" t="n">
        <v>51250</v>
      </c>
      <c r="E35" s="8" t="n">
        <v>52500</v>
      </c>
      <c r="F35" s="8" t="n">
        <v>53750</v>
      </c>
      <c r="G35" s="8" t="n">
        <v>55000</v>
      </c>
    </row>
    <row r="36">
      <c r="A36" s="4" t="inlineStr">
        <is>
          <t xml:space="preserve">  Vertrieb PerEx</t>
        </is>
      </c>
      <c r="B36" s="5" t="inlineStr">
        <is>
          <t>€</t>
        </is>
      </c>
      <c r="C36" s="8" t="n">
        <v>70000</v>
      </c>
      <c r="D36" s="8" t="n">
        <v>71750</v>
      </c>
      <c r="E36" s="8" t="n">
        <v>73500</v>
      </c>
      <c r="F36" s="8" t="n">
        <v>75250</v>
      </c>
      <c r="G36" s="8" t="n">
        <v>77000</v>
      </c>
    </row>
    <row r="37">
      <c r="A37" s="34" t="inlineStr">
        <is>
          <t>Overhead DB2 PerEx Gesamt</t>
        </is>
      </c>
      <c r="B37" s="35" t="inlineStr">
        <is>
          <t>€</t>
        </is>
      </c>
      <c r="C37" s="36">
        <f>SUM(C34:C36)</f>
        <v/>
      </c>
      <c r="D37" s="36">
        <f>SUM(D34:D36)</f>
        <v/>
      </c>
      <c r="E37" s="36">
        <f>SUM(E34:E36)</f>
        <v/>
      </c>
      <c r="F37" s="36">
        <f>SUM(F34:F36)</f>
        <v/>
      </c>
      <c r="G37" s="36">
        <f>SUM(G34:G36)</f>
        <v/>
      </c>
    </row>
    <row r="38">
      <c r="A38" s="2" t="inlineStr">
        <is>
          <t>7. Overhead DB2 – OpEx (€ p.a.)</t>
        </is>
      </c>
      <c r="B38" s="3" t="n"/>
      <c r="C38" s="3" t="n"/>
      <c r="D38" s="3" t="n"/>
      <c r="E38" s="3" t="n"/>
      <c r="F38" s="3" t="n"/>
      <c r="G38" s="3" t="n"/>
    </row>
    <row r="39">
      <c r="A39" s="4" t="inlineStr">
        <is>
          <t xml:space="preserve">  Verwaltung OpEx</t>
        </is>
      </c>
      <c r="B39" s="5" t="inlineStr">
        <is>
          <t>€</t>
        </is>
      </c>
      <c r="C39" s="8" t="n">
        <v>32000</v>
      </c>
      <c r="D39" s="8" t="n">
        <v>32800</v>
      </c>
      <c r="E39" s="8" t="n">
        <v>33600</v>
      </c>
      <c r="F39" s="8" t="n">
        <v>34400</v>
      </c>
      <c r="G39" s="8" t="n">
        <v>35200</v>
      </c>
    </row>
    <row r="40">
      <c r="A40" s="4" t="inlineStr">
        <is>
          <t xml:space="preserve">  Entwicklung OpEx</t>
        </is>
      </c>
      <c r="B40" s="5" t="inlineStr">
        <is>
          <t>€</t>
        </is>
      </c>
      <c r="C40" s="8" t="n">
        <v>20000</v>
      </c>
      <c r="D40" s="8" t="n">
        <v>20500</v>
      </c>
      <c r="E40" s="8" t="n">
        <v>21000</v>
      </c>
      <c r="F40" s="8" t="n">
        <v>21500</v>
      </c>
      <c r="G40" s="8" t="n">
        <v>22000</v>
      </c>
    </row>
    <row r="41">
      <c r="A41" s="4" t="inlineStr">
        <is>
          <t xml:space="preserve">  Vertrieb OpEx</t>
        </is>
      </c>
      <c r="B41" s="5" t="inlineStr">
        <is>
          <t>€</t>
        </is>
      </c>
      <c r="C41" s="8" t="n">
        <v>28000</v>
      </c>
      <c r="D41" s="8" t="n">
        <v>28700</v>
      </c>
      <c r="E41" s="8" t="n">
        <v>29400</v>
      </c>
      <c r="F41" s="8" t="n">
        <v>30100</v>
      </c>
      <c r="G41" s="8" t="n">
        <v>30800</v>
      </c>
    </row>
    <row r="42">
      <c r="A42" s="34" t="inlineStr">
        <is>
          <t>Overhead DB2 OpEx Gesamt</t>
        </is>
      </c>
      <c r="B42" s="35" t="inlineStr">
        <is>
          <t>€</t>
        </is>
      </c>
      <c r="C42" s="36">
        <f>SUM(C39:C41)</f>
        <v/>
      </c>
      <c r="D42" s="36">
        <f>SUM(D39:D41)</f>
        <v/>
      </c>
      <c r="E42" s="36">
        <f>SUM(E39:E41)</f>
        <v/>
      </c>
      <c r="F42" s="36">
        <f>SUM(F39:F41)</f>
        <v/>
      </c>
      <c r="G42" s="36">
        <f>SUM(G39:G41)</f>
        <v/>
      </c>
    </row>
    <row r="43">
      <c r="A43" s="7" t="n"/>
      <c r="B43" s="7" t="n"/>
      <c r="C43" s="7" t="n"/>
      <c r="D43" s="7" t="n"/>
      <c r="E43" s="7" t="n"/>
      <c r="F43" s="7" t="n"/>
      <c r="G43" s="7" t="n"/>
    </row>
    <row r="44">
      <c r="A44" s="2" t="inlineStr">
        <is>
          <t>8. Overhead DB3 – PersonalEx (€ p.a.)</t>
        </is>
      </c>
      <c r="B44" s="3" t="n"/>
      <c r="C44" s="3" t="n"/>
      <c r="D44" s="3" t="n"/>
      <c r="E44" s="3" t="n"/>
      <c r="F44" s="3" t="n"/>
      <c r="G44" s="3" t="n"/>
    </row>
    <row r="45">
      <c r="A45" s="4" t="inlineStr">
        <is>
          <t>Overhead DB3 PerEx Gesamt</t>
        </is>
      </c>
      <c r="B45" s="5" t="inlineStr">
        <is>
          <t>€</t>
        </is>
      </c>
      <c r="C45" s="8" t="n">
        <v>150000</v>
      </c>
      <c r="D45" s="8" t="n">
        <v>154000</v>
      </c>
      <c r="E45" s="8" t="n">
        <v>158000</v>
      </c>
      <c r="F45" s="8" t="n">
        <v>162000</v>
      </c>
      <c r="G45" s="8" t="n">
        <v>166000</v>
      </c>
    </row>
    <row r="46">
      <c r="A46" s="2" t="inlineStr">
        <is>
          <t>9. Overhead DB3 – OpEx (€ p.a.)</t>
        </is>
      </c>
      <c r="B46" s="3" t="n"/>
      <c r="C46" s="3" t="n"/>
      <c r="D46" s="3" t="n"/>
      <c r="E46" s="3" t="n"/>
      <c r="F46" s="3" t="n"/>
      <c r="G46" s="3" t="n"/>
    </row>
    <row r="47">
      <c r="A47" s="4" t="inlineStr">
        <is>
          <t>Overhead DB3 OpEx Gesamt</t>
        </is>
      </c>
      <c r="B47" s="5" t="inlineStr">
        <is>
          <t>€</t>
        </is>
      </c>
      <c r="C47" s="8" t="n">
        <v>50000</v>
      </c>
      <c r="D47" s="8" t="n">
        <v>51500</v>
      </c>
      <c r="E47" s="8" t="n">
        <v>53000</v>
      </c>
      <c r="F47" s="8" t="n">
        <v>54500</v>
      </c>
      <c r="G47" s="8" t="n">
        <v>56000</v>
      </c>
    </row>
    <row r="48">
      <c r="A48" s="7" t="n"/>
      <c r="B48" s="7" t="n"/>
      <c r="C48" s="7" t="n"/>
      <c r="D48" s="7" t="n"/>
      <c r="E48" s="7" t="n"/>
      <c r="F48" s="7" t="n"/>
      <c r="G48" s="7" t="n"/>
    </row>
    <row r="49">
      <c r="A49" s="9" t="inlineStr">
        <is>
          <t>► Alle gelb hinterlegten Zellen sind Eingabezellen – hier Annahmen anpassen.</t>
        </is>
      </c>
      <c r="B49" s="10" t="n"/>
      <c r="C49" s="10" t="n"/>
      <c r="D49" s="10" t="n"/>
      <c r="E49" s="10" t="n"/>
      <c r="F49" s="10" t="n"/>
      <c r="G49" s="10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xSplit="2" ySplit="2" topLeftCell="C24" activePane="bottomRight" state="frozen"/>
      <selection pane="topRight" activeCell="A1" sqref="A1"/>
      <selection pane="bottomLeft" activeCell="A1" sqref="A1"/>
      <selection pane="bottomRight" activeCell="C37" sqref="C37"/>
    </sheetView>
  </sheetViews>
  <sheetFormatPr baseColWidth="10" defaultColWidth="9.23046875" defaultRowHeight="14.6"/>
  <cols>
    <col width="42" customWidth="1" style="32" min="1" max="1"/>
    <col width="5" customWidth="1" style="32" min="2" max="2"/>
    <col width="16" customWidth="1" style="32" min="3" max="7"/>
    <col width="14" customWidth="1" style="32" min="8" max="8"/>
  </cols>
  <sheetData>
    <row r="1" ht="30" customHeight="1" s="32">
      <c r="A1" s="33" t="inlineStr">
        <is>
          <t>Mehrstufige Deckungsbeitragsrechnung – 5-Jahres-Simulation</t>
        </is>
      </c>
    </row>
    <row r="2" ht="20.05" customHeight="1" s="32">
      <c r="A2" s="1" t="inlineStr">
        <is>
          <t>Position</t>
        </is>
      </c>
      <c r="B2" s="1" t="n"/>
      <c r="C2" s="1" t="inlineStr">
        <is>
          <t>2025</t>
        </is>
      </c>
      <c r="D2" s="1" t="inlineStr">
        <is>
          <t>2026</t>
        </is>
      </c>
      <c r="E2" s="1" t="inlineStr">
        <is>
          <t>2027</t>
        </is>
      </c>
      <c r="F2" s="1" t="inlineStr">
        <is>
          <t>2028</t>
        </is>
      </c>
      <c r="G2" s="1" t="inlineStr">
        <is>
          <t>2029</t>
        </is>
      </c>
      <c r="H2" s="1" t="inlineStr">
        <is>
          <t>Ø Marge</t>
        </is>
      </c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2" t="inlineStr">
        <is>
          <t>UMSATZ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11" t="inlineStr">
        <is>
          <t>Produktverkauf</t>
        </is>
      </c>
      <c r="B5" s="12" t="n"/>
      <c r="C5" s="13">
        <f>Annahmen!C10</f>
        <v/>
      </c>
      <c r="D5" s="13">
        <f>Annahmen!C10*(1+Annahmen!D4)</f>
        <v/>
      </c>
      <c r="E5" s="13">
        <f>Annahmen!C10*(1+Annahmen!D4)*(1+Annahmen!E4)</f>
        <v/>
      </c>
      <c r="F5" s="13">
        <f>Annahmen!C10*(1+Annahmen!D4)*(1+Annahmen!E4)*(1+Annahmen!F4)</f>
        <v/>
      </c>
      <c r="G5" s="13">
        <f>Annahmen!C10*(1+Annahmen!D4)*(1+Annahmen!E4)*(1+Annahmen!F4)*(1+Annahmen!G4)</f>
        <v/>
      </c>
      <c r="H5" s="12" t="n"/>
    </row>
    <row r="6">
      <c r="A6" s="11" t="inlineStr">
        <is>
          <t>Serviceleistungen</t>
        </is>
      </c>
      <c r="B6" s="12" t="n"/>
      <c r="C6" s="13">
        <f>Annahmen!C11</f>
        <v/>
      </c>
      <c r="D6" s="13">
        <f>Annahmen!C11*(1+Annahmen!D5)</f>
        <v/>
      </c>
      <c r="E6" s="13">
        <f>Annahmen!C11*(1+Annahmen!D5)*(1+Annahmen!E5)</f>
        <v/>
      </c>
      <c r="F6" s="13">
        <f>Annahmen!C11*(1+Annahmen!D5)*(1+Annahmen!E5)*(1+Annahmen!F5)</f>
        <v/>
      </c>
      <c r="G6" s="13">
        <f>Annahmen!C11*(1+Annahmen!D5)*(1+Annahmen!E5)*(1+Annahmen!F5)*(1+Annahmen!G5)</f>
        <v/>
      </c>
      <c r="H6" s="12" t="n"/>
    </row>
    <row r="7">
      <c r="A7" s="11" t="inlineStr">
        <is>
          <t>Lizenzeinnahmen</t>
        </is>
      </c>
      <c r="B7" s="12" t="n"/>
      <c r="C7" s="13">
        <f>Annahmen!C12</f>
        <v/>
      </c>
      <c r="D7" s="13">
        <f>Annahmen!C12*(1+Annahmen!D6)</f>
        <v/>
      </c>
      <c r="E7" s="13">
        <f>Annahmen!C12*(1+Annahmen!D6)*(1+Annahmen!E6)</f>
        <v/>
      </c>
      <c r="F7" s="13">
        <f>Annahmen!C12*(1+Annahmen!D6)*(1+Annahmen!E6)*(1+Annahmen!F6)</f>
        <v/>
      </c>
      <c r="G7" s="13">
        <f>Annahmen!C12*(1+Annahmen!D6)*(1+Annahmen!E6)*(1+Annahmen!F6)*(1+Annahmen!G6)</f>
        <v/>
      </c>
      <c r="H7" s="12" t="n"/>
    </row>
    <row r="8">
      <c r="A8" s="11" t="inlineStr">
        <is>
          <t>Sonstiger Umsatz</t>
        </is>
      </c>
      <c r="B8" s="12" t="n"/>
      <c r="C8" s="13">
        <f>Annahmen!C13</f>
        <v/>
      </c>
      <c r="D8" s="13">
        <f>Annahmen!C13*(1+Annahmen!D7)</f>
        <v/>
      </c>
      <c r="E8" s="13">
        <f>Annahmen!C13*(1+Annahmen!D7)*(1+Annahmen!E7)</f>
        <v/>
      </c>
      <c r="F8" s="13">
        <f>Annahmen!C13*(1+Annahmen!D7)*(1+Annahmen!E7)*(1+Annahmen!F7)</f>
        <v/>
      </c>
      <c r="G8" s="13">
        <f>Annahmen!C13*(1+Annahmen!D7)*(1+Annahmen!E7)*(1+Annahmen!F7)*(1+Annahmen!G7)</f>
        <v/>
      </c>
      <c r="H8" s="12" t="n"/>
    </row>
    <row r="9">
      <c r="A9" s="14" t="inlineStr">
        <is>
          <t>Gesamtumsatz</t>
        </is>
      </c>
      <c r="B9" s="12" t="n"/>
      <c r="C9" s="15">
        <f>C5+C6+C7+C8</f>
        <v/>
      </c>
      <c r="D9" s="15">
        <f>D5+D6+D7+D8</f>
        <v/>
      </c>
      <c r="E9" s="15">
        <f>E5+E6+E7+E8</f>
        <v/>
      </c>
      <c r="F9" s="15">
        <f>F5+F6+F7+F8</f>
        <v/>
      </c>
      <c r="G9" s="15">
        <f>G5+G6+G7+G8</f>
        <v/>
      </c>
      <c r="H9" s="16" t="inlineStr">
        <is>
          <t>100%</t>
        </is>
      </c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2" t="inlineStr">
        <is>
          <t>DIREKTE MATERIALKOSTEN</t>
        </is>
      </c>
      <c r="B11" s="3" t="n"/>
      <c r="C11" s="3" t="n"/>
      <c r="D11" s="3" t="n"/>
      <c r="E11" s="3" t="n"/>
      <c r="F11" s="3" t="n"/>
      <c r="G11" s="3" t="n"/>
      <c r="H11" s="3" t="n"/>
    </row>
    <row r="12">
      <c r="A12" s="17" t="inlineStr">
        <is>
          <t>Produktverkauf</t>
        </is>
      </c>
      <c r="B12" s="18" t="n"/>
      <c r="C12" s="19">
        <f>-C5*Annahmen!C16</f>
        <v/>
      </c>
      <c r="D12" s="19">
        <f>-D5*Annahmen!D16</f>
        <v/>
      </c>
      <c r="E12" s="19">
        <f>-E5*Annahmen!E16</f>
        <v/>
      </c>
      <c r="F12" s="19">
        <f>-F5*Annahmen!F16</f>
        <v/>
      </c>
      <c r="G12" s="19">
        <f>-G5*Annahmen!G16</f>
        <v/>
      </c>
      <c r="H12" s="18" t="n"/>
    </row>
    <row r="13">
      <c r="A13" s="17" t="inlineStr">
        <is>
          <t>Serviceleistungen</t>
        </is>
      </c>
      <c r="B13" s="18" t="n"/>
      <c r="C13" s="19">
        <f>-C6*Annahmen!C17</f>
        <v/>
      </c>
      <c r="D13" s="19">
        <f>-D6*Annahmen!D17</f>
        <v/>
      </c>
      <c r="E13" s="19">
        <f>-E6*Annahmen!E17</f>
        <v/>
      </c>
      <c r="F13" s="19">
        <f>-F6*Annahmen!F17</f>
        <v/>
      </c>
      <c r="G13" s="19">
        <f>-G6*Annahmen!G17</f>
        <v/>
      </c>
      <c r="H13" s="18" t="n"/>
    </row>
    <row r="14">
      <c r="A14" s="17" t="inlineStr">
        <is>
          <t>Lizenzeinnahmen</t>
        </is>
      </c>
      <c r="B14" s="18" t="n"/>
      <c r="C14" s="19">
        <f>-C7*Annahmen!C18</f>
        <v/>
      </c>
      <c r="D14" s="19">
        <f>-D7*Annahmen!D18</f>
        <v/>
      </c>
      <c r="E14" s="19">
        <f>-E7*Annahmen!E18</f>
        <v/>
      </c>
      <c r="F14" s="19">
        <f>-F7*Annahmen!F18</f>
        <v/>
      </c>
      <c r="G14" s="19">
        <f>-G7*Annahmen!G18</f>
        <v/>
      </c>
      <c r="H14" s="18" t="n"/>
    </row>
    <row r="15">
      <c r="A15" s="17" t="inlineStr">
        <is>
          <t>Sonstiger Umsatz</t>
        </is>
      </c>
      <c r="B15" s="18" t="n"/>
      <c r="C15" s="19">
        <f>-C8*Annahmen!C19</f>
        <v/>
      </c>
      <c r="D15" s="19">
        <f>-D8*Annahmen!D19</f>
        <v/>
      </c>
      <c r="E15" s="19">
        <f>-E8*Annahmen!E19</f>
        <v/>
      </c>
      <c r="F15" s="19">
        <f>-F8*Annahmen!F19</f>
        <v/>
      </c>
      <c r="G15" s="19">
        <f>-G8*Annahmen!G19</f>
        <v/>
      </c>
      <c r="H15" s="18" t="n"/>
    </row>
    <row r="16">
      <c r="A16" s="20" t="inlineStr">
        <is>
          <t>Gesamt Materialkosten</t>
        </is>
      </c>
      <c r="B16" s="18" t="n"/>
      <c r="C16" s="21">
        <f>C12+C13+C14+C15</f>
        <v/>
      </c>
      <c r="D16" s="21">
        <f>D12+D13+D14+D15</f>
        <v/>
      </c>
      <c r="E16" s="21">
        <f>E12+E13+E14+E15</f>
        <v/>
      </c>
      <c r="F16" s="21">
        <f>F12+F13+F14+F15</f>
        <v/>
      </c>
      <c r="G16" s="21">
        <f>G12+G13+G14+G15</f>
        <v/>
      </c>
      <c r="H16" s="22">
        <f>IF(G9&lt;&gt;0,G16/G9,0)</f>
        <v/>
      </c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14" t="inlineStr">
        <is>
          <t>GROSS PROFIT</t>
        </is>
      </c>
      <c r="B18" s="12" t="n"/>
      <c r="C18" s="23">
        <f>C9+C16</f>
        <v/>
      </c>
      <c r="D18" s="23">
        <f>D9+D16</f>
        <v/>
      </c>
      <c r="E18" s="23">
        <f>E9+E16</f>
        <v/>
      </c>
      <c r="F18" s="23">
        <f>F9+F16</f>
        <v/>
      </c>
      <c r="G18" s="23">
        <f>G9+G16</f>
        <v/>
      </c>
      <c r="H18" s="24">
        <f>IF(G9&lt;&gt;0,G18/G9,0)</f>
        <v/>
      </c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2" t="inlineStr">
        <is>
          <t>DIREKTE PERSONALKOSTEN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17" t="inlineStr">
        <is>
          <t>Produktverkauf</t>
        </is>
      </c>
      <c r="B21" s="18" t="n"/>
      <c r="C21" s="19">
        <f>-Annahmen!C22</f>
        <v/>
      </c>
      <c r="D21" s="19">
        <f>-Annahmen!D22</f>
        <v/>
      </c>
      <c r="E21" s="19">
        <f>-Annahmen!E22</f>
        <v/>
      </c>
      <c r="F21" s="19">
        <f>-Annahmen!F22</f>
        <v/>
      </c>
      <c r="G21" s="19">
        <f>-Annahmen!G22</f>
        <v/>
      </c>
      <c r="H21" s="18" t="n"/>
    </row>
    <row r="22">
      <c r="A22" s="17" t="inlineStr">
        <is>
          <t>Serviceleistungen</t>
        </is>
      </c>
      <c r="B22" s="18" t="n"/>
      <c r="C22" s="19">
        <f>-Annahmen!C23</f>
        <v/>
      </c>
      <c r="D22" s="19">
        <f>-Annahmen!D23</f>
        <v/>
      </c>
      <c r="E22" s="19">
        <f>-Annahmen!E23</f>
        <v/>
      </c>
      <c r="F22" s="19">
        <f>-Annahmen!F23</f>
        <v/>
      </c>
      <c r="G22" s="19">
        <f>-Annahmen!G23</f>
        <v/>
      </c>
      <c r="H22" s="18" t="n"/>
    </row>
    <row r="23">
      <c r="A23" s="17" t="inlineStr">
        <is>
          <t>Lizenzeinnahmen</t>
        </is>
      </c>
      <c r="B23" s="18" t="n"/>
      <c r="C23" s="19">
        <f>-Annahmen!C24</f>
        <v/>
      </c>
      <c r="D23" s="19">
        <f>-Annahmen!D24</f>
        <v/>
      </c>
      <c r="E23" s="19">
        <f>-Annahmen!E24</f>
        <v/>
      </c>
      <c r="F23" s="19">
        <f>-Annahmen!F24</f>
        <v/>
      </c>
      <c r="G23" s="19">
        <f>-Annahmen!G24</f>
        <v/>
      </c>
      <c r="H23" s="18" t="n"/>
    </row>
    <row r="24">
      <c r="A24" s="17" t="inlineStr">
        <is>
          <t>Sonstiger Umsatz</t>
        </is>
      </c>
      <c r="B24" s="18" t="n"/>
      <c r="C24" s="19">
        <f>-Annahmen!C25</f>
        <v/>
      </c>
      <c r="D24" s="19">
        <f>-Annahmen!D25</f>
        <v/>
      </c>
      <c r="E24" s="19">
        <f>-Annahmen!E25</f>
        <v/>
      </c>
      <c r="F24" s="19">
        <f>-Annahmen!F25</f>
        <v/>
      </c>
      <c r="G24" s="19">
        <f>-Annahmen!G25</f>
        <v/>
      </c>
      <c r="H24" s="18" t="n"/>
    </row>
    <row r="25">
      <c r="A25" s="20" t="inlineStr">
        <is>
          <t>Gesamt direkte Personalkosten</t>
        </is>
      </c>
      <c r="B25" s="18" t="n"/>
      <c r="C25" s="21">
        <f>C21+C22+C23+C24</f>
        <v/>
      </c>
      <c r="D25" s="21">
        <f>D21+D22+D23+D24</f>
        <v/>
      </c>
      <c r="E25" s="21">
        <f>E21+E22+E23+E24</f>
        <v/>
      </c>
      <c r="F25" s="21">
        <f>F21+F22+F23+F24</f>
        <v/>
      </c>
      <c r="G25" s="21">
        <f>G21+G22+G23+G24</f>
        <v/>
      </c>
      <c r="H25" s="18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2" t="inlineStr">
        <is>
          <t>DIREKTE SONSTIGE KOSTEN</t>
        </is>
      </c>
      <c r="B27" s="3" t="n"/>
      <c r="C27" s="3" t="n"/>
      <c r="D27" s="3" t="n"/>
      <c r="E27" s="3" t="n"/>
      <c r="F27" s="3" t="n"/>
      <c r="G27" s="3" t="n"/>
      <c r="H27" s="3" t="n"/>
    </row>
    <row r="28">
      <c r="A28" s="17" t="inlineStr">
        <is>
          <t>Produktverkauf</t>
        </is>
      </c>
      <c r="B28" s="18" t="n"/>
      <c r="C28" s="19">
        <f>-Annahmen!C28</f>
        <v/>
      </c>
      <c r="D28" s="19">
        <f>-Annahmen!D28</f>
        <v/>
      </c>
      <c r="E28" s="19">
        <f>-Annahmen!E28</f>
        <v/>
      </c>
      <c r="F28" s="19">
        <f>-Annahmen!F28</f>
        <v/>
      </c>
      <c r="G28" s="19">
        <f>-Annahmen!G28</f>
        <v/>
      </c>
      <c r="H28" s="18" t="n"/>
    </row>
    <row r="29">
      <c r="A29" s="17" t="inlineStr">
        <is>
          <t>Serviceleistungen</t>
        </is>
      </c>
      <c r="B29" s="18" t="n"/>
      <c r="C29" s="19">
        <f>-Annahmen!C29</f>
        <v/>
      </c>
      <c r="D29" s="19">
        <f>-Annahmen!D29</f>
        <v/>
      </c>
      <c r="E29" s="19">
        <f>-Annahmen!E29</f>
        <v/>
      </c>
      <c r="F29" s="19">
        <f>-Annahmen!F29</f>
        <v/>
      </c>
      <c r="G29" s="19">
        <f>-Annahmen!G29</f>
        <v/>
      </c>
      <c r="H29" s="18" t="n"/>
    </row>
    <row r="30">
      <c r="A30" s="17" t="inlineStr">
        <is>
          <t>Lizenzeinnahmen</t>
        </is>
      </c>
      <c r="B30" s="18" t="n"/>
      <c r="C30" s="19">
        <f>-Annahmen!C30</f>
        <v/>
      </c>
      <c r="D30" s="19">
        <f>-Annahmen!D30</f>
        <v/>
      </c>
      <c r="E30" s="19">
        <f>-Annahmen!E30</f>
        <v/>
      </c>
      <c r="F30" s="19">
        <f>-Annahmen!F30</f>
        <v/>
      </c>
      <c r="G30" s="19">
        <f>-Annahmen!G30</f>
        <v/>
      </c>
      <c r="H30" s="18" t="n"/>
    </row>
    <row r="31">
      <c r="A31" s="17" t="inlineStr">
        <is>
          <t>Sonstiger Umsatz</t>
        </is>
      </c>
      <c r="B31" s="18" t="n"/>
      <c r="C31" s="19">
        <f>-Annahmen!C31</f>
        <v/>
      </c>
      <c r="D31" s="19">
        <f>-Annahmen!D31</f>
        <v/>
      </c>
      <c r="E31" s="19">
        <f>-Annahmen!E31</f>
        <v/>
      </c>
      <c r="F31" s="19">
        <f>-Annahmen!F31</f>
        <v/>
      </c>
      <c r="G31" s="19">
        <f>-Annahmen!G31</f>
        <v/>
      </c>
      <c r="H31" s="18" t="n"/>
    </row>
    <row r="32">
      <c r="A32" s="20" t="inlineStr">
        <is>
          <t>Gesamt direkte sonstige Kosten</t>
        </is>
      </c>
      <c r="B32" s="18" t="n"/>
      <c r="C32" s="21">
        <f>C28+C29+C30+C31</f>
        <v/>
      </c>
      <c r="D32" s="21">
        <f>D28+D29+D30+D31</f>
        <v/>
      </c>
      <c r="E32" s="21">
        <f>E28+E29+E30+E31</f>
        <v/>
      </c>
      <c r="F32" s="21">
        <f>F28+F29+F30+F31</f>
        <v/>
      </c>
      <c r="G32" s="21">
        <f>G28+G29+G30+G31</f>
        <v/>
      </c>
      <c r="H32" s="18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14" t="inlineStr">
        <is>
          <t>DECKUNGSBEITRAG 1  (DB1)</t>
        </is>
      </c>
      <c r="B34" s="12" t="n"/>
      <c r="C34" s="23">
        <f>C18+C25+C32</f>
        <v/>
      </c>
      <c r="D34" s="23">
        <f>D18+D25+D32</f>
        <v/>
      </c>
      <c r="E34" s="23">
        <f>E18+E25+E32</f>
        <v/>
      </c>
      <c r="F34" s="23">
        <f>F18+F25+F32</f>
        <v/>
      </c>
      <c r="G34" s="23">
        <f>G18+G25+G32</f>
        <v/>
      </c>
      <c r="H34" s="24">
        <f>IF(G9&lt;&gt;0,G34/G9,0)</f>
        <v/>
      </c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2" t="inlineStr">
        <is>
          <t>OVERHEAD  DB2</t>
        </is>
      </c>
      <c r="B36" s="3" t="n"/>
      <c r="C36" s="3" t="n"/>
      <c r="D36" s="3" t="n"/>
      <c r="E36" s="3" t="n"/>
      <c r="F36" s="3" t="n"/>
      <c r="G36" s="3" t="n"/>
      <c r="H36" s="3" t="n"/>
    </row>
    <row r="37">
      <c r="A37" s="17" t="inlineStr">
        <is>
          <t xml:space="preserve">  Verwaltung – PersonalEx</t>
        </is>
      </c>
      <c r="B37" s="18" t="n"/>
      <c r="C37" s="19">
        <f>-Annahmen!C34</f>
        <v/>
      </c>
      <c r="D37" s="19">
        <f>-Annahmen!D34</f>
        <v/>
      </c>
      <c r="E37" s="19">
        <f>-Annahmen!E34</f>
        <v/>
      </c>
      <c r="F37" s="19">
        <f>-Annahmen!F34</f>
        <v/>
      </c>
      <c r="G37" s="19">
        <f>-Annahmen!G34</f>
        <v/>
      </c>
      <c r="H37" s="18" t="n"/>
    </row>
    <row r="38">
      <c r="A38" s="17" t="inlineStr">
        <is>
          <t xml:space="preserve">  Entwicklung – PersonalEx</t>
        </is>
      </c>
      <c r="B38" s="18" t="n"/>
      <c r="C38" s="19">
        <f>-Annahmen!C35</f>
        <v/>
      </c>
      <c r="D38" s="19">
        <f>-Annahmen!D35</f>
        <v/>
      </c>
      <c r="E38" s="19">
        <f>-Annahmen!E35</f>
        <v/>
      </c>
      <c r="F38" s="19">
        <f>-Annahmen!F35</f>
        <v/>
      </c>
      <c r="G38" s="19">
        <f>-Annahmen!G35</f>
        <v/>
      </c>
      <c r="H38" s="18" t="n"/>
    </row>
    <row r="39">
      <c r="A39" s="17" t="inlineStr">
        <is>
          <t xml:space="preserve">  Vertrieb – PersonalEx</t>
        </is>
      </c>
      <c r="B39" s="18" t="n"/>
      <c r="C39" s="19">
        <f>-Annahmen!C36</f>
        <v/>
      </c>
      <c r="D39" s="19">
        <f>-Annahmen!D36</f>
        <v/>
      </c>
      <c r="E39" s="19">
        <f>-Annahmen!E36</f>
        <v/>
      </c>
      <c r="F39" s="19">
        <f>-Annahmen!F36</f>
        <v/>
      </c>
      <c r="G39" s="19">
        <f>-Annahmen!G36</f>
        <v/>
      </c>
      <c r="H39" s="18" t="n"/>
    </row>
    <row r="40">
      <c r="A40" s="37" t="inlineStr">
        <is>
          <t>Overhead DB2 – PersonalEx Gesamt</t>
        </is>
      </c>
      <c r="B40" s="18" t="n"/>
      <c r="C40" s="19">
        <f>SUM(C37:C39)</f>
        <v/>
      </c>
      <c r="D40" s="19">
        <f>SUM(D37:D39)</f>
        <v/>
      </c>
      <c r="E40" s="19">
        <f>SUM(E37:E39)</f>
        <v/>
      </c>
      <c r="F40" s="19">
        <f>SUM(F37:F39)</f>
        <v/>
      </c>
      <c r="G40" s="19">
        <f>SUM(G37:G39)</f>
        <v/>
      </c>
      <c r="H40" s="18" t="n"/>
    </row>
    <row r="41">
      <c r="A41" s="17" t="inlineStr">
        <is>
          <t xml:space="preserve">  Verwaltung – OpEx</t>
        </is>
      </c>
      <c r="B41" s="18" t="n"/>
      <c r="C41" s="19">
        <f>-Annahmen!C39</f>
        <v/>
      </c>
      <c r="D41" s="19">
        <f>-Annahmen!D39</f>
        <v/>
      </c>
      <c r="E41" s="19">
        <f>-Annahmen!E39</f>
        <v/>
      </c>
      <c r="F41" s="19">
        <f>-Annahmen!F39</f>
        <v/>
      </c>
      <c r="G41" s="19">
        <f>-Annahmen!G39</f>
        <v/>
      </c>
      <c r="H41" s="18" t="n"/>
    </row>
    <row r="42">
      <c r="A42" s="17" t="inlineStr">
        <is>
          <t xml:space="preserve">  Entwicklung – OpEx</t>
        </is>
      </c>
      <c r="B42" s="18" t="n"/>
      <c r="C42" s="19">
        <f>-Annahmen!C40</f>
        <v/>
      </c>
      <c r="D42" s="19">
        <f>-Annahmen!D40</f>
        <v/>
      </c>
      <c r="E42" s="19">
        <f>-Annahmen!E40</f>
        <v/>
      </c>
      <c r="F42" s="19">
        <f>-Annahmen!F40</f>
        <v/>
      </c>
      <c r="G42" s="19">
        <f>-Annahmen!G40</f>
        <v/>
      </c>
      <c r="H42" s="18" t="n"/>
    </row>
    <row r="43">
      <c r="A43" s="17" t="inlineStr">
        <is>
          <t xml:space="preserve">  Vertrieb – OpEx</t>
        </is>
      </c>
      <c r="B43" s="18" t="n"/>
      <c r="C43" s="19">
        <f>-Annahmen!C41</f>
        <v/>
      </c>
      <c r="D43" s="19">
        <f>-Annahmen!D41</f>
        <v/>
      </c>
      <c r="E43" s="19">
        <f>-Annahmen!E41</f>
        <v/>
      </c>
      <c r="F43" s="19">
        <f>-Annahmen!F41</f>
        <v/>
      </c>
      <c r="G43" s="19">
        <f>-Annahmen!G41</f>
        <v/>
      </c>
      <c r="H43" s="18" t="n"/>
    </row>
    <row r="44">
      <c r="A44" s="37" t="inlineStr">
        <is>
          <t>Overhead DB2 – OpEx Gesamt</t>
        </is>
      </c>
      <c r="B44" s="18" t="n"/>
      <c r="C44" s="19">
        <f>SUM(C41:C43)</f>
        <v/>
      </c>
      <c r="D44" s="19">
        <f>SUM(D41:D43)</f>
        <v/>
      </c>
      <c r="E44" s="19">
        <f>SUM(E41:E43)</f>
        <v/>
      </c>
      <c r="F44" s="19">
        <f>SUM(F41:F43)</f>
        <v/>
      </c>
      <c r="G44" s="19">
        <f>SUM(G41:G43)</f>
        <v/>
      </c>
      <c r="H44" s="18" t="n"/>
    </row>
    <row r="45">
      <c r="A45" s="7" t="n"/>
      <c r="B45" s="7" t="n"/>
      <c r="C45" s="7" t="n"/>
      <c r="D45" s="7" t="n"/>
      <c r="E45" s="7" t="n"/>
      <c r="F45" s="7" t="n"/>
      <c r="G45" s="7" t="n"/>
    </row>
    <row r="46">
      <c r="A46" s="14" t="inlineStr">
        <is>
          <t>DECKUNGSBEITRAG 2  (DB2)</t>
        </is>
      </c>
      <c r="B46" s="12" t="n"/>
      <c r="C46" s="23">
        <f>C34+C40+C44</f>
        <v/>
      </c>
      <c r="D46" s="23">
        <f>D34+D40+D44</f>
        <v/>
      </c>
      <c r="E46" s="23">
        <f>E34+E40+E44</f>
        <v/>
      </c>
      <c r="F46" s="23">
        <f>F34+F40+F44</f>
        <v/>
      </c>
      <c r="G46" s="23">
        <f>G34+G40+G44</f>
        <v/>
      </c>
      <c r="H46" s="24">
        <f>IF(G9&lt;&gt;0,G46/G9,0)</f>
        <v/>
      </c>
    </row>
    <row r="47">
      <c r="A47" s="7" t="n"/>
      <c r="B47" s="7" t="n"/>
      <c r="C47" s="7" t="n"/>
      <c r="D47" s="7" t="n"/>
      <c r="E47" s="7" t="n"/>
      <c r="F47" s="7" t="n"/>
      <c r="G47" s="7" t="n"/>
    </row>
    <row r="48">
      <c r="A48" s="2" t="inlineStr">
        <is>
          <t>OVERHEAD  DB3</t>
        </is>
      </c>
      <c r="B48" s="3" t="n"/>
      <c r="C48" s="3" t="n"/>
      <c r="D48" s="3" t="n"/>
      <c r="E48" s="3" t="n"/>
      <c r="F48" s="3" t="n"/>
      <c r="G48" s="3" t="n"/>
      <c r="H48" s="3" t="n"/>
    </row>
    <row r="49">
      <c r="A49" s="17" t="inlineStr">
        <is>
          <t>Overhead DB3 – PersonalEx</t>
        </is>
      </c>
      <c r="B49" s="18" t="n"/>
      <c r="C49" s="19">
        <f>-Annahmen!C45</f>
        <v/>
      </c>
      <c r="D49" s="19">
        <f>-Annahmen!D45</f>
        <v/>
      </c>
      <c r="E49" s="19">
        <f>-Annahmen!E45</f>
        <v/>
      </c>
      <c r="F49" s="19">
        <f>-Annahmen!F45</f>
        <v/>
      </c>
      <c r="G49" s="19">
        <f>-Annahmen!G45</f>
        <v/>
      </c>
      <c r="H49" s="18" t="n"/>
    </row>
    <row r="50">
      <c r="A50" s="17" t="inlineStr">
        <is>
          <t>Overhead DB3 – OpEx</t>
        </is>
      </c>
      <c r="B50" s="18" t="n"/>
      <c r="C50" s="19">
        <f>-Annahmen!C47</f>
        <v/>
      </c>
      <c r="D50" s="19">
        <f>-Annahmen!D47</f>
        <v/>
      </c>
      <c r="E50" s="19">
        <f>-Annahmen!E47</f>
        <v/>
      </c>
      <c r="F50" s="19">
        <f>-Annahmen!F47</f>
        <v/>
      </c>
      <c r="G50" s="19">
        <f>-Annahmen!G47</f>
        <v/>
      </c>
      <c r="H50" s="18" t="n"/>
    </row>
    <row r="51">
      <c r="A51" s="7" t="n"/>
      <c r="B51" s="7" t="n"/>
      <c r="C51" s="7" t="n"/>
      <c r="D51" s="7" t="n"/>
      <c r="E51" s="7" t="n"/>
      <c r="F51" s="7" t="n"/>
      <c r="G51" s="7" t="n"/>
    </row>
    <row r="52">
      <c r="A52" s="14" t="inlineStr">
        <is>
          <t>DECKUNGSBEITRAG 3  (DB3)</t>
        </is>
      </c>
      <c r="B52" s="12" t="n"/>
      <c r="C52" s="23">
        <f>C46+C49+C50</f>
        <v/>
      </c>
      <c r="D52" s="23">
        <f>D46+D49+D50</f>
        <v/>
      </c>
      <c r="E52" s="23">
        <f>E46+E49+E50</f>
        <v/>
      </c>
      <c r="F52" s="23">
        <f>F46+F49+F50</f>
        <v/>
      </c>
      <c r="G52" s="23">
        <f>G46+G49+G50</f>
        <v/>
      </c>
      <c r="H52" s="24">
        <f>IF(G9&lt;&gt;0,G52/G9,0)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9.23046875" defaultRowHeight="14.6"/>
  <cols>
    <col width="38" customWidth="1" style="32" min="1" max="1"/>
    <col width="5" customWidth="1" style="32" min="2" max="2"/>
    <col width="16" customWidth="1" style="32" min="3" max="7"/>
  </cols>
  <sheetData>
    <row r="1" ht="30" customHeight="1" s="32">
      <c r="A1" s="33" t="inlineStr">
        <is>
          <t>Kennzahlen-Dashboard – Margen &amp; Wachstum</t>
        </is>
      </c>
    </row>
    <row r="2">
      <c r="A2" s="1" t="inlineStr">
        <is>
          <t>Kennzahl</t>
        </is>
      </c>
      <c r="B2" s="1" t="n"/>
      <c r="C2" s="1" t="inlineStr">
        <is>
          <t>2025</t>
        </is>
      </c>
      <c r="D2" s="1" t="inlineStr">
        <is>
          <t>2026</t>
        </is>
      </c>
      <c r="E2" s="1" t="inlineStr">
        <is>
          <t>2027</t>
        </is>
      </c>
      <c r="F2" s="1" t="inlineStr">
        <is>
          <t>2028</t>
        </is>
      </c>
      <c r="G2" s="1" t="inlineStr">
        <is>
          <t>2029</t>
        </is>
      </c>
    </row>
    <row r="3">
      <c r="A3" s="25" t="inlineStr">
        <is>
          <t>Gesamtumsatz</t>
        </is>
      </c>
      <c r="B3" s="26" t="n"/>
      <c r="C3" s="27">
        <f>'Gesamt P&amp;L'!C9</f>
        <v/>
      </c>
      <c r="D3" s="27">
        <f>'Gesamt P&amp;L'!D9</f>
        <v/>
      </c>
      <c r="E3" s="27">
        <f>'Gesamt P&amp;L'!E9</f>
        <v/>
      </c>
      <c r="F3" s="27">
        <f>'Gesamt P&amp;L'!F9</f>
        <v/>
      </c>
      <c r="G3" s="27">
        <f>'Gesamt P&amp;L'!G9</f>
        <v/>
      </c>
    </row>
    <row r="4">
      <c r="A4" s="25" t="inlineStr">
        <is>
          <t>Gross Profit</t>
        </is>
      </c>
      <c r="B4" s="26" t="n"/>
      <c r="C4" s="27">
        <f>'Gesamt P&amp;L'!C18</f>
        <v/>
      </c>
      <c r="D4" s="27">
        <f>'Gesamt P&amp;L'!D18</f>
        <v/>
      </c>
      <c r="E4" s="27">
        <f>'Gesamt P&amp;L'!E18</f>
        <v/>
      </c>
      <c r="F4" s="27">
        <f>'Gesamt P&amp;L'!F18</f>
        <v/>
      </c>
      <c r="G4" s="27">
        <f>'Gesamt P&amp;L'!G18</f>
        <v/>
      </c>
    </row>
    <row r="5">
      <c r="A5" s="5" t="inlineStr">
        <is>
          <t>Gross Margin %</t>
        </is>
      </c>
      <c r="B5" s="5" t="n"/>
      <c r="C5" s="28">
        <f>IF('Gesamt P&amp;L'!C9&lt;&gt;0,'Gesamt P&amp;L'!C18/'Gesamt P&amp;L'!C9,0)</f>
        <v/>
      </c>
      <c r="D5" s="28">
        <f>IF('Gesamt P&amp;L'!D9&lt;&gt;0,'Gesamt P&amp;L'!D18/'Gesamt P&amp;L'!D9,0)</f>
        <v/>
      </c>
      <c r="E5" s="28">
        <f>IF('Gesamt P&amp;L'!E9&lt;&gt;0,'Gesamt P&amp;L'!E18/'Gesamt P&amp;L'!E9,0)</f>
        <v/>
      </c>
      <c r="F5" s="28">
        <f>IF('Gesamt P&amp;L'!F9&lt;&gt;0,'Gesamt P&amp;L'!F18/'Gesamt P&amp;L'!F9,0)</f>
        <v/>
      </c>
      <c r="G5" s="28">
        <f>IF('Gesamt P&amp;L'!G9&lt;&gt;0,'Gesamt P&amp;L'!G18/'Gesamt P&amp;L'!G9,0)</f>
        <v/>
      </c>
    </row>
    <row r="6">
      <c r="A6" s="25" t="inlineStr">
        <is>
          <t>Deckungsbeitrag 1</t>
        </is>
      </c>
      <c r="B6" s="26" t="n"/>
      <c r="C6" s="27">
        <f>'Gesamt P&amp;L'!C34</f>
        <v/>
      </c>
      <c r="D6" s="27">
        <f>'Gesamt P&amp;L'!D34</f>
        <v/>
      </c>
      <c r="E6" s="27">
        <f>'Gesamt P&amp;L'!E34</f>
        <v/>
      </c>
      <c r="F6" s="27">
        <f>'Gesamt P&amp;L'!F34</f>
        <v/>
      </c>
      <c r="G6" s="27">
        <f>'Gesamt P&amp;L'!G34</f>
        <v/>
      </c>
    </row>
    <row r="7">
      <c r="A7" s="5" t="inlineStr">
        <is>
          <t>DB1-Marge %</t>
        </is>
      </c>
      <c r="B7" s="5" t="n"/>
      <c r="C7" s="28">
        <f>IF('Gesamt P&amp;L'!C9&lt;&gt;0,'Gesamt P&amp;L'!C34/'Gesamt P&amp;L'!C9,0)</f>
        <v/>
      </c>
      <c r="D7" s="28">
        <f>IF('Gesamt P&amp;L'!D9&lt;&gt;0,'Gesamt P&amp;L'!D34/'Gesamt P&amp;L'!D9,0)</f>
        <v/>
      </c>
      <c r="E7" s="28">
        <f>IF('Gesamt P&amp;L'!E9&lt;&gt;0,'Gesamt P&amp;L'!E34/'Gesamt P&amp;L'!E9,0)</f>
        <v/>
      </c>
      <c r="F7" s="28">
        <f>IF('Gesamt P&amp;L'!F9&lt;&gt;0,'Gesamt P&amp;L'!F34/'Gesamt P&amp;L'!F9,0)</f>
        <v/>
      </c>
      <c r="G7" s="28">
        <f>IF('Gesamt P&amp;L'!G9&lt;&gt;0,'Gesamt P&amp;L'!G34/'Gesamt P&amp;L'!G9,0)</f>
        <v/>
      </c>
    </row>
    <row r="8">
      <c r="A8" s="25" t="inlineStr">
        <is>
          <t>Deckungsbeitrag 2</t>
        </is>
      </c>
      <c r="B8" s="26" t="n"/>
      <c r="C8" s="27">
        <f>'Gesamt P&amp;L'!C46</f>
        <v/>
      </c>
      <c r="D8" s="27">
        <f>'Gesamt P&amp;L'!D46</f>
        <v/>
      </c>
      <c r="E8" s="27">
        <f>'Gesamt P&amp;L'!E46</f>
        <v/>
      </c>
      <c r="F8" s="27">
        <f>'Gesamt P&amp;L'!F46</f>
        <v/>
      </c>
      <c r="G8" s="27">
        <f>'Gesamt P&amp;L'!G46</f>
        <v/>
      </c>
    </row>
    <row r="9">
      <c r="A9" s="5" t="inlineStr">
        <is>
          <t>DB2-Marge %</t>
        </is>
      </c>
      <c r="B9" s="5" t="n"/>
      <c r="C9" s="28">
        <f>IF('Gesamt P&amp;L'!C9&lt;&gt;0,'Gesamt P&amp;L'!C46/'Gesamt P&amp;L'!C9,0)</f>
        <v/>
      </c>
      <c r="D9" s="28">
        <f>IF('Gesamt P&amp;L'!D9&lt;&gt;0,'Gesamt P&amp;L'!D46/'Gesamt P&amp;L'!D9,0)</f>
        <v/>
      </c>
      <c r="E9" s="28">
        <f>IF('Gesamt P&amp;L'!E9&lt;&gt;0,'Gesamt P&amp;L'!E46/'Gesamt P&amp;L'!E9,0)</f>
        <v/>
      </c>
      <c r="F9" s="28">
        <f>IF('Gesamt P&amp;L'!F9&lt;&gt;0,'Gesamt P&amp;L'!F46/'Gesamt P&amp;L'!F9,0)</f>
        <v/>
      </c>
      <c r="G9" s="28">
        <f>IF('Gesamt P&amp;L'!G9&lt;&gt;0,'Gesamt P&amp;L'!G46/'Gesamt P&amp;L'!G9,0)</f>
        <v/>
      </c>
    </row>
    <row r="10">
      <c r="A10" s="25" t="inlineStr">
        <is>
          <t>Deckungsbeitrag 3</t>
        </is>
      </c>
      <c r="B10" s="26" t="n"/>
      <c r="C10" s="27">
        <f>'Gesamt P&amp;L'!C52</f>
        <v/>
      </c>
      <c r="D10" s="27">
        <f>'Gesamt P&amp;L'!D52</f>
        <v/>
      </c>
      <c r="E10" s="27">
        <f>'Gesamt P&amp;L'!E52</f>
        <v/>
      </c>
      <c r="F10" s="27">
        <f>'Gesamt P&amp;L'!F52</f>
        <v/>
      </c>
      <c r="G10" s="27">
        <f>'Gesamt P&amp;L'!G52</f>
        <v/>
      </c>
    </row>
    <row r="11">
      <c r="A11" s="5" t="inlineStr">
        <is>
          <t>DB3-Marge %</t>
        </is>
      </c>
      <c r="B11" s="5" t="n"/>
      <c r="C11" s="28">
        <f>IF('Gesamt P&amp;L'!C9&lt;&gt;0,'Gesamt P&amp;L'!C52/'Gesamt P&amp;L'!C9,0)</f>
        <v/>
      </c>
      <c r="D11" s="28">
        <f>IF('Gesamt P&amp;L'!D9&lt;&gt;0,'Gesamt P&amp;L'!D52/'Gesamt P&amp;L'!D9,0)</f>
        <v/>
      </c>
      <c r="E11" s="28">
        <f>IF('Gesamt P&amp;L'!E9&lt;&gt;0,'Gesamt P&amp;L'!E52/'Gesamt P&amp;L'!E9,0)</f>
        <v/>
      </c>
      <c r="F11" s="28">
        <f>IF('Gesamt P&amp;L'!F9&lt;&gt;0,'Gesamt P&amp;L'!F52/'Gesamt P&amp;L'!F9,0)</f>
        <v/>
      </c>
      <c r="G11" s="28">
        <f>IF('Gesamt P&amp;L'!G9&lt;&gt;0,'Gesamt P&amp;L'!G52/'Gesamt P&amp;L'!G9,0)</f>
        <v/>
      </c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2" t="inlineStr">
        <is>
          <t>Umsatzwachstum YoY</t>
        </is>
      </c>
      <c r="B13" s="3" t="n"/>
      <c r="C13" s="3" t="n"/>
      <c r="D13" s="3" t="n"/>
      <c r="E13" s="3" t="n"/>
      <c r="F13" s="3" t="n"/>
      <c r="G13" s="3" t="n"/>
    </row>
    <row r="14">
      <c r="A14" s="5" t="inlineStr">
        <is>
          <t>Wachstum Gesamtumsatz %</t>
        </is>
      </c>
      <c r="B14" s="5" t="n"/>
      <c r="C14" s="29" t="inlineStr">
        <is>
          <t>—</t>
        </is>
      </c>
      <c r="D14" s="30">
        <f>IF('Gesamt P&amp;L'!C9&lt;&gt;0,('Gesamt P&amp;L'!D9-'Gesamt P&amp;L'!C9)/'Gesamt P&amp;L'!C9,0)</f>
        <v/>
      </c>
      <c r="E14" s="30">
        <f>IF('Gesamt P&amp;L'!D9&lt;&gt;0,('Gesamt P&amp;L'!E9-'Gesamt P&amp;L'!D9)/'Gesamt P&amp;L'!D9,0)</f>
        <v/>
      </c>
      <c r="F14" s="30">
        <f>IF('Gesamt P&amp;L'!E9&lt;&gt;0,('Gesamt P&amp;L'!F9-'Gesamt P&amp;L'!E9)/'Gesamt P&amp;L'!E9,0)</f>
        <v/>
      </c>
      <c r="G14" s="30">
        <f>IF('Gesamt P&amp;L'!F9&lt;&gt;0,('Gesamt P&amp;L'!G9-'Gesamt P&amp;L'!F9)/'Gesamt P&amp;L'!F9,0)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Break-Even-Simulation (DB3=0)</t>
        </is>
      </c>
    </row>
    <row r="2">
      <c r="A2" t="inlineStr">
        <is>
          <t>Annahmen: Bruttomarge konstant, Materialkosten proportional, direkte Kosten &amp; Overheads wie Modell (fix/plan).</t>
        </is>
      </c>
    </row>
    <row r="4">
      <c r="A4" t="inlineStr">
        <is>
          <t>Jahr</t>
        </is>
      </c>
      <c r="B4" t="inlineStr">
        <is>
          <t>Ist_Gesamtumsatz</t>
        </is>
      </c>
      <c r="C4" t="inlineStr">
        <is>
          <t>Bruttomarge</t>
        </is>
      </c>
      <c r="D4" t="inlineStr">
        <is>
          <t>Fixe_Direktkosten</t>
        </is>
      </c>
      <c r="E4" t="inlineStr">
        <is>
          <t>Overhead_DB2</t>
        </is>
      </c>
      <c r="F4" t="inlineStr">
        <is>
          <t>Overhead_DB3</t>
        </is>
      </c>
      <c r="G4" t="inlineStr">
        <is>
          <t>BreakEven_Umsatz</t>
        </is>
      </c>
      <c r="H4" t="inlineStr">
        <is>
          <t>Zusatzumsatz_vs_Ist</t>
        </is>
      </c>
      <c r="I4" t="inlineStr">
        <is>
          <t>Multiplikator_vs_Ist</t>
        </is>
      </c>
    </row>
    <row r="5">
      <c r="A5" t="n">
        <v>2025</v>
      </c>
      <c r="B5" s="38" t="n">
        <v>850000</v>
      </c>
      <c r="C5" s="39" t="n">
        <v>0.7352941176470589</v>
      </c>
      <c r="D5" t="n">
        <v>273000</v>
      </c>
      <c r="E5" t="n">
        <v>280000</v>
      </c>
      <c r="F5" s="38" t="n">
        <v>200000</v>
      </c>
      <c r="G5" s="38" t="n">
        <v>1024080</v>
      </c>
      <c r="H5" s="38" t="n">
        <v>174079.9999999999</v>
      </c>
      <c r="I5" s="38" t="n">
        <v>1.2048</v>
      </c>
      <c r="J5" s="39" t="n"/>
    </row>
    <row r="6">
      <c r="A6" t="n">
        <v>2026</v>
      </c>
      <c r="B6" s="38" t="n">
        <v>892500</v>
      </c>
      <c r="C6" s="39" t="n">
        <v>0.7352941176470589</v>
      </c>
      <c r="D6" t="n">
        <v>273000</v>
      </c>
      <c r="E6" t="n">
        <v>287000</v>
      </c>
      <c r="F6" s="38" t="n">
        <v>205500</v>
      </c>
      <c r="G6" s="38" t="n">
        <v>1041080</v>
      </c>
      <c r="H6" s="38" t="n">
        <v>148579.9999999999</v>
      </c>
      <c r="I6" s="38" t="n">
        <v>1.16647619047619</v>
      </c>
      <c r="J6" s="39" t="n"/>
    </row>
    <row r="7">
      <c r="A7" t="n">
        <v>2027</v>
      </c>
      <c r="B7" s="38" t="n">
        <v>937125</v>
      </c>
      <c r="C7" s="39" t="n">
        <v>0.7352941176470589</v>
      </c>
      <c r="D7" t="n">
        <v>273000</v>
      </c>
      <c r="E7" t="n">
        <v>294000</v>
      </c>
      <c r="F7" s="38" t="n">
        <v>211000</v>
      </c>
      <c r="G7" s="38" t="n">
        <v>1058080</v>
      </c>
      <c r="H7" s="38" t="n">
        <v>120955</v>
      </c>
      <c r="I7" s="38" t="n">
        <v>1.129070294784581</v>
      </c>
      <c r="J7" s="39" t="n"/>
    </row>
    <row r="8">
      <c r="A8" t="n">
        <v>2028</v>
      </c>
      <c r="B8" s="38" t="n">
        <v>983981.25</v>
      </c>
      <c r="C8" s="39" t="n">
        <v>0.7352941176470589</v>
      </c>
      <c r="D8" t="n">
        <v>273000</v>
      </c>
      <c r="E8" t="n">
        <v>301000</v>
      </c>
      <c r="F8" s="38" t="n">
        <v>216500</v>
      </c>
      <c r="G8" s="38" t="n">
        <v>1075080</v>
      </c>
      <c r="H8" s="38" t="n">
        <v>91098.75</v>
      </c>
      <c r="I8" s="38" t="n">
        <v>1.092581794622611</v>
      </c>
      <c r="J8" s="39" t="n"/>
    </row>
    <row r="9">
      <c r="A9" t="n">
        <v>2029</v>
      </c>
      <c r="B9" s="38" t="n">
        <v>1033180.3125</v>
      </c>
      <c r="C9" s="39" t="n">
        <v>0.7352941176470589</v>
      </c>
      <c r="D9" t="n">
        <v>273000</v>
      </c>
      <c r="E9" t="n">
        <v>308000</v>
      </c>
      <c r="F9" s="38" t="n">
        <v>222000</v>
      </c>
      <c r="G9" s="38" t="n">
        <v>1092080</v>
      </c>
      <c r="H9" s="38" t="n">
        <v>58899.6875</v>
      </c>
      <c r="I9" s="38" t="n">
        <v>1.05700813961261</v>
      </c>
      <c r="J9" s="39" t="n"/>
    </row>
    <row r="12">
      <c r="A12" t="inlineStr">
        <is>
          <t>Break-even 2029 erfordert Umsatz (ab 2025) CAGR:</t>
        </is>
      </c>
      <c r="B12" s="40" t="n">
        <v>0.06465496064423637</v>
      </c>
    </row>
    <row r="13">
      <c r="A13" t="inlineStr">
        <is>
          <t>Break-even Umsatz 2029:</t>
        </is>
      </c>
      <c r="B13" s="38" t="n">
        <v>1092080</v>
      </c>
    </row>
    <row r="16">
      <c r="A16" t="inlineStr">
        <is>
          <t>Sensitivität 2029: DB3 (in €) bei Umsatz-Multiplikator vs. Reduktion Overhead DB3</t>
        </is>
      </c>
    </row>
    <row r="17">
      <c r="A17" t="inlineStr"/>
      <c r="B17" t="inlineStr">
        <is>
          <t>90% Umsatz</t>
        </is>
      </c>
      <c r="C17" t="inlineStr">
        <is>
          <t>95% Umsatz</t>
        </is>
      </c>
      <c r="D17" t="inlineStr">
        <is>
          <t>100% Umsatz</t>
        </is>
      </c>
      <c r="E17" t="inlineStr">
        <is>
          <t>105% Umsatz</t>
        </is>
      </c>
      <c r="F17" t="inlineStr">
        <is>
          <t>110% Umsatz</t>
        </is>
      </c>
      <c r="G17" t="inlineStr">
        <is>
          <t>114% Umsatz</t>
        </is>
      </c>
      <c r="H17" t="inlineStr">
        <is>
          <t>120% Umsatz</t>
        </is>
      </c>
      <c r="I17" t="inlineStr">
        <is>
          <t>125% Umsatz</t>
        </is>
      </c>
      <c r="J17" t="inlineStr">
        <is>
          <t>130% Umsatz</t>
        </is>
      </c>
      <c r="K17" t="inlineStr">
        <is>
          <t>135% Umsatz</t>
        </is>
      </c>
      <c r="L17" t="inlineStr">
        <is>
          <t>140% Umsatz</t>
        </is>
      </c>
    </row>
    <row r="18">
      <c r="A18" t="inlineStr">
        <is>
          <t>-0% OH3</t>
        </is>
      </c>
      <c r="B18" s="38" t="n">
        <v>-119277.734375</v>
      </c>
      <c r="C18" s="38" t="n">
        <v>-81293.1640625</v>
      </c>
      <c r="D18" s="38" t="n">
        <v>-43308.59375</v>
      </c>
      <c r="E18" s="38" t="n">
        <v>-5324.0234375</v>
      </c>
      <c r="F18" s="38" t="n">
        <v>32660.54687500012</v>
      </c>
      <c r="G18" s="38" t="n">
        <v>70645.11718750012</v>
      </c>
      <c r="H18" s="38" t="n">
        <v>108629.6875000001</v>
      </c>
      <c r="I18" s="38" t="n">
        <v>146614.2578125001</v>
      </c>
      <c r="J18" s="38" t="n">
        <v>184598.8281250001</v>
      </c>
      <c r="K18" s="38" t="n">
        <v>222583.3984375001</v>
      </c>
      <c r="L18" s="38" t="n">
        <v>260567.96875</v>
      </c>
    </row>
    <row r="19">
      <c r="A19" t="inlineStr">
        <is>
          <t>-5% OH3</t>
        </is>
      </c>
      <c r="B19" s="38" t="n">
        <v>-108177.734375</v>
      </c>
      <c r="C19" s="38" t="n">
        <v>-70193.1640625</v>
      </c>
      <c r="D19" s="38" t="n">
        <v>-32208.59375</v>
      </c>
      <c r="E19" s="38" t="n">
        <v>5775.9765625</v>
      </c>
      <c r="F19" s="38" t="n">
        <v>43760.54687500012</v>
      </c>
      <c r="G19" s="38" t="n">
        <v>81745.11718750012</v>
      </c>
      <c r="H19" s="38" t="n">
        <v>119729.6875000001</v>
      </c>
      <c r="I19" s="38" t="n">
        <v>157714.2578125001</v>
      </c>
      <c r="J19" s="38" t="n">
        <v>195698.8281250001</v>
      </c>
      <c r="K19" s="38" t="n">
        <v>233683.3984375001</v>
      </c>
      <c r="L19" s="38" t="n">
        <v>271667.96875</v>
      </c>
    </row>
    <row r="20">
      <c r="A20" t="inlineStr">
        <is>
          <t>-10% OH3</t>
        </is>
      </c>
      <c r="B20" s="38" t="n">
        <v>-97077.734375</v>
      </c>
      <c r="C20" s="38" t="n">
        <v>-59093.1640625</v>
      </c>
      <c r="D20" s="38" t="n">
        <v>-21108.59375</v>
      </c>
      <c r="E20" s="38" t="n">
        <v>16875.9765625</v>
      </c>
      <c r="F20" s="38" t="n">
        <v>54860.54687500012</v>
      </c>
      <c r="G20" s="38" t="n">
        <v>92845.11718750012</v>
      </c>
      <c r="H20" s="38" t="n">
        <v>130829.6875000001</v>
      </c>
      <c r="I20" s="38" t="n">
        <v>168814.2578125001</v>
      </c>
      <c r="J20" s="38" t="n">
        <v>206798.8281250001</v>
      </c>
      <c r="K20" s="38" t="n">
        <v>244783.3984375001</v>
      </c>
      <c r="L20" s="38" t="n">
        <v>282767.96875</v>
      </c>
    </row>
    <row r="21">
      <c r="A21" t="inlineStr">
        <is>
          <t>-15% OH3</t>
        </is>
      </c>
      <c r="B21" s="38" t="n">
        <v>-85977.734375</v>
      </c>
      <c r="C21" s="38" t="n">
        <v>-47993.1640625</v>
      </c>
      <c r="D21" s="38" t="n">
        <v>-10008.59375</v>
      </c>
      <c r="E21" s="38" t="n">
        <v>27975.9765625</v>
      </c>
      <c r="F21" s="38" t="n">
        <v>65960.54687500012</v>
      </c>
      <c r="G21" s="38" t="n">
        <v>103945.1171875001</v>
      </c>
      <c r="H21" s="38" t="n">
        <v>141929.6875000001</v>
      </c>
      <c r="I21" s="38" t="n">
        <v>179914.2578125001</v>
      </c>
      <c r="J21" s="38" t="n">
        <v>217898.8281250001</v>
      </c>
      <c r="K21" s="38" t="n">
        <v>255883.3984375001</v>
      </c>
      <c r="L21" s="38" t="n">
        <v>293867.96875</v>
      </c>
    </row>
    <row r="22">
      <c r="A22" t="inlineStr">
        <is>
          <t>-20% OH3</t>
        </is>
      </c>
      <c r="B22" s="38" t="n">
        <v>-74877.734375</v>
      </c>
      <c r="C22" s="38" t="n">
        <v>-36893.1640625</v>
      </c>
      <c r="D22" s="38" t="n">
        <v>1091.40625</v>
      </c>
      <c r="E22" s="38" t="n">
        <v>39075.9765625</v>
      </c>
      <c r="F22" s="38" t="n">
        <v>77060.54687500012</v>
      </c>
      <c r="G22" s="38" t="n">
        <v>115045.1171875001</v>
      </c>
      <c r="H22" s="38" t="n">
        <v>153029.6875000001</v>
      </c>
      <c r="I22" s="38" t="n">
        <v>191014.2578125001</v>
      </c>
      <c r="J22" s="38" t="n">
        <v>228998.8281250001</v>
      </c>
      <c r="K22" s="38" t="n">
        <v>266983.3984375001</v>
      </c>
      <c r="L22" s="38" t="n">
        <v>304967.96875</v>
      </c>
    </row>
    <row r="23">
      <c r="A23" t="inlineStr">
        <is>
          <t>-25% OH3</t>
        </is>
      </c>
      <c r="B23" s="38" t="n">
        <v>-63777.734375</v>
      </c>
      <c r="C23" s="38" t="n">
        <v>-25793.1640625</v>
      </c>
      <c r="D23" s="38" t="n">
        <v>12191.40625</v>
      </c>
      <c r="E23" s="38" t="n">
        <v>50175.9765625</v>
      </c>
      <c r="F23" s="38" t="n">
        <v>88160.54687500012</v>
      </c>
      <c r="G23" s="38" t="n">
        <v>126145.1171875001</v>
      </c>
      <c r="H23" s="38" t="n">
        <v>164129.6875000001</v>
      </c>
      <c r="I23" s="38" t="n">
        <v>202114.2578125001</v>
      </c>
      <c r="J23" s="38" t="n">
        <v>240098.8281250001</v>
      </c>
      <c r="K23" s="38" t="n">
        <v>278083.3984375001</v>
      </c>
      <c r="L23" s="38" t="n">
        <v>316067.96875</v>
      </c>
    </row>
    <row r="24">
      <c r="A24" t="inlineStr">
        <is>
          <t>-30% OH3</t>
        </is>
      </c>
      <c r="B24" s="38" t="n">
        <v>-52677.734375</v>
      </c>
      <c r="C24" s="38" t="n">
        <v>-14693.1640625</v>
      </c>
      <c r="D24" s="38" t="n">
        <v>23291.40625</v>
      </c>
      <c r="E24" s="38" t="n">
        <v>61275.9765625</v>
      </c>
      <c r="F24" s="38" t="n">
        <v>99260.54687500012</v>
      </c>
      <c r="G24" s="38" t="n">
        <v>137245.1171875001</v>
      </c>
      <c r="H24" s="38" t="n">
        <v>175229.6875000001</v>
      </c>
      <c r="I24" s="38" t="n">
        <v>213214.2578125001</v>
      </c>
      <c r="J24" s="38" t="n">
        <v>251198.8281250001</v>
      </c>
      <c r="K24" s="38" t="n">
        <v>289183.3984375001</v>
      </c>
      <c r="L24" s="38" t="n">
        <v>327167.96875</v>
      </c>
    </row>
    <row r="25">
      <c r="A25" t="inlineStr">
        <is>
          <t>-35% OH3</t>
        </is>
      </c>
      <c r="B25" s="38" t="n">
        <v>-41577.734375</v>
      </c>
      <c r="C25" s="38" t="n">
        <v>-3593.1640625</v>
      </c>
      <c r="D25" s="38" t="n">
        <v>34391.40625</v>
      </c>
      <c r="E25" s="38" t="n">
        <v>72375.9765625</v>
      </c>
      <c r="F25" s="38" t="n">
        <v>110360.5468750001</v>
      </c>
      <c r="G25" s="38" t="n">
        <v>148345.1171875001</v>
      </c>
      <c r="H25" s="38" t="n">
        <v>186329.6875000001</v>
      </c>
      <c r="I25" s="38" t="n">
        <v>224314.2578125001</v>
      </c>
      <c r="J25" s="38" t="n">
        <v>262298.8281250001</v>
      </c>
      <c r="K25" s="38" t="n">
        <v>300283.3984375001</v>
      </c>
      <c r="L25" s="38" t="n">
        <v>338267.96875</v>
      </c>
    </row>
    <row r="26">
      <c r="A26" t="inlineStr">
        <is>
          <t>-40% OH3</t>
        </is>
      </c>
      <c r="B26" s="38" t="n">
        <v>-30477.734375</v>
      </c>
      <c r="C26" s="38" t="n">
        <v>7506.8359375</v>
      </c>
      <c r="D26" s="38" t="n">
        <v>45491.40625</v>
      </c>
      <c r="E26" s="38" t="n">
        <v>83475.9765625</v>
      </c>
      <c r="F26" s="38" t="n">
        <v>121460.5468750001</v>
      </c>
      <c r="G26" s="38" t="n">
        <v>159445.1171875001</v>
      </c>
      <c r="H26" s="38" t="n">
        <v>197429.6875000001</v>
      </c>
      <c r="I26" s="38" t="n">
        <v>235414.2578125001</v>
      </c>
      <c r="J26" s="38" t="n">
        <v>273398.8281250001</v>
      </c>
      <c r="K26" s="38" t="n">
        <v>311383.3984375001</v>
      </c>
      <c r="L26" s="38" t="n">
        <v>349367.96875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2026-02-21T15:05:45Z</dcterms:created>
  <dcterms:modified xmlns:dcterms="http://purl.org/dc/terms/" xmlns:xsi="http://www.w3.org/2001/XMLSchema-instance" xsi:type="dcterms:W3CDTF">2026-03-15T15:46:01Z</dcterms:modified>
  <cp:lastModifiedBy>Michael Braun</cp:lastModifiedBy>
</cp:coreProperties>
</file>